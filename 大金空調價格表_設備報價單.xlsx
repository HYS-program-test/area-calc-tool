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ungys\Desktop\AI seed\test Google Sheets Connection\"/>
    </mc:Choice>
  </mc:AlternateContent>
  <xr:revisionPtr revIDLastSave="0" documentId="13_ncr:1_{98B1E69C-C64B-41A6-BCB7-2D05AD5CE8A4}" xr6:coauthVersionLast="36" xr6:coauthVersionMax="36" xr10:uidLastSave="{00000000-0000-0000-0000-000000000000}"/>
  <bookViews>
    <workbookView xWindow="0" yWindow="0" windowWidth="23040" windowHeight="9648" tabRatio="830" xr2:uid="{00000000-000D-0000-FFFF-FFFF00000000}"/>
  </bookViews>
  <sheets>
    <sheet name="VRV設備價格表" sheetId="11" r:id="rId1"/>
  </sheets>
  <definedNames>
    <definedName name="_xlnm._FilterDatabase" localSheetId="0" hidden="1">VRV設備價格表!$A$1:$L$230</definedName>
    <definedName name="_xlnm.Print_Area" localSheetId="0">VRV設備價格表!$A$1:$O$289</definedName>
  </definedNames>
  <calcPr calcId="191029"/>
</workbook>
</file>

<file path=xl/calcChain.xml><?xml version="1.0" encoding="utf-8"?>
<calcChain xmlns="http://schemas.openxmlformats.org/spreadsheetml/2006/main">
  <c r="F216" i="11" l="1"/>
  <c r="F219" i="11"/>
  <c r="F218" i="11"/>
  <c r="F217" i="11"/>
  <c r="F212" i="11"/>
  <c r="F211" i="11"/>
  <c r="F210" i="11"/>
  <c r="F174" i="11"/>
  <c r="F17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F230" i="11"/>
  <c r="E230" i="11"/>
  <c r="F229" i="11"/>
  <c r="E229" i="11"/>
  <c r="F228" i="11"/>
  <c r="E228" i="11"/>
  <c r="F227" i="11"/>
  <c r="E227" i="11"/>
  <c r="F226" i="11"/>
  <c r="E226" i="11"/>
  <c r="F225" i="11"/>
  <c r="E225" i="11"/>
  <c r="F224" i="11"/>
  <c r="E224" i="11"/>
  <c r="F223" i="11"/>
  <c r="F222" i="11"/>
  <c r="F221" i="11"/>
  <c r="F220" i="11"/>
  <c r="F215" i="11"/>
  <c r="F214" i="11"/>
  <c r="F213" i="11"/>
  <c r="F209" i="11"/>
  <c r="F208" i="11"/>
  <c r="F207" i="11"/>
  <c r="F206" i="11"/>
  <c r="F205" i="11"/>
  <c r="F204" i="11"/>
  <c r="F203" i="11"/>
  <c r="F202" i="11"/>
  <c r="F201" i="11"/>
  <c r="F200" i="11"/>
  <c r="F199" i="11"/>
  <c r="F198" i="11"/>
  <c r="F197" i="11"/>
  <c r="F196" i="11"/>
  <c r="F195" i="11"/>
  <c r="F194" i="11"/>
  <c r="F193" i="11"/>
  <c r="F192" i="11"/>
  <c r="F191" i="11"/>
  <c r="F190" i="11"/>
  <c r="F189" i="11"/>
  <c r="F188" i="11"/>
  <c r="F187" i="11"/>
  <c r="F186" i="11"/>
  <c r="F185" i="11"/>
  <c r="F184" i="11"/>
  <c r="F183" i="11"/>
  <c r="F182" i="11"/>
  <c r="F181" i="11"/>
  <c r="F180" i="11"/>
  <c r="F179" i="11"/>
  <c r="F178" i="11"/>
  <c r="F177" i="11"/>
  <c r="F176" i="11"/>
  <c r="F175" i="11"/>
  <c r="F172" i="11"/>
  <c r="F171" i="11"/>
  <c r="F170" i="11"/>
  <c r="F169" i="11"/>
  <c r="F168" i="11"/>
  <c r="F167" i="11"/>
  <c r="F166" i="11"/>
  <c r="F165" i="11"/>
  <c r="F164" i="11"/>
  <c r="F163" i="11"/>
  <c r="F162" i="11"/>
  <c r="F161" i="11"/>
  <c r="F160" i="11"/>
  <c r="F159" i="11"/>
  <c r="F158" i="11"/>
  <c r="F157" i="11"/>
  <c r="F156" i="11"/>
  <c r="F155" i="11"/>
  <c r="F154" i="11"/>
  <c r="F153" i="11"/>
  <c r="F152" i="11"/>
  <c r="F151" i="11"/>
  <c r="F150" i="11"/>
  <c r="F149" i="11"/>
  <c r="F148" i="11"/>
  <c r="F147" i="11"/>
  <c r="F146" i="11"/>
  <c r="F145" i="11"/>
  <c r="F144" i="11"/>
  <c r="F143" i="11"/>
  <c r="F142" i="11"/>
  <c r="F141" i="11"/>
  <c r="F140" i="11"/>
  <c r="F139" i="11"/>
  <c r="F138" i="11"/>
  <c r="F137" i="11"/>
  <c r="F136" i="11"/>
  <c r="F135" i="11"/>
  <c r="F134" i="11"/>
  <c r="F133" i="11"/>
  <c r="F132" i="11"/>
  <c r="F131" i="11"/>
  <c r="F130" i="11"/>
  <c r="F129" i="11"/>
  <c r="F128" i="11"/>
  <c r="F127" i="11"/>
  <c r="F126" i="11"/>
  <c r="F125" i="11"/>
  <c r="F124" i="11"/>
  <c r="F123" i="11"/>
  <c r="F122" i="11"/>
  <c r="F121" i="11"/>
  <c r="F120" i="11"/>
  <c r="F119" i="11"/>
  <c r="F118" i="11"/>
  <c r="F117" i="11"/>
  <c r="F116" i="11"/>
  <c r="F115" i="11"/>
  <c r="F114" i="11"/>
  <c r="F113" i="11"/>
  <c r="F112" i="11"/>
  <c r="F111" i="11"/>
  <c r="F110" i="11"/>
  <c r="F109" i="11"/>
  <c r="F108" i="11"/>
  <c r="F107" i="11"/>
  <c r="F106" i="11"/>
  <c r="F105" i="11"/>
  <c r="F104" i="11"/>
  <c r="F103" i="11"/>
  <c r="F102" i="11"/>
  <c r="F101" i="11"/>
  <c r="F100" i="11"/>
  <c r="E100" i="11"/>
  <c r="F99" i="11"/>
  <c r="E99" i="11"/>
  <c r="F98" i="11"/>
  <c r="E98" i="11"/>
  <c r="F97" i="11"/>
  <c r="E97" i="11"/>
  <c r="F96" i="11"/>
  <c r="E96" i="11"/>
  <c r="F95" i="11"/>
  <c r="E95" i="11"/>
  <c r="F94" i="11"/>
  <c r="E94" i="11"/>
  <c r="F93" i="11"/>
  <c r="E93" i="11"/>
  <c r="F92" i="11"/>
  <c r="E92" i="11"/>
  <c r="F91" i="11"/>
  <c r="E91" i="11"/>
  <c r="F90" i="11"/>
  <c r="E90" i="11"/>
  <c r="F89" i="11"/>
  <c r="E89" i="11"/>
  <c r="F88" i="11"/>
  <c r="F87" i="11"/>
  <c r="E87" i="11"/>
  <c r="F86" i="11"/>
  <c r="E86" i="11"/>
  <c r="F85" i="11"/>
  <c r="E85" i="11"/>
  <c r="F84" i="11"/>
  <c r="E84" i="11"/>
  <c r="F83" i="11"/>
  <c r="E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3" i="11"/>
  <c r="F2" i="11"/>
</calcChain>
</file>

<file path=xl/sharedStrings.xml><?xml version="1.0" encoding="utf-8"?>
<sst xmlns="http://schemas.openxmlformats.org/spreadsheetml/2006/main" count="1903" uniqueCount="522">
  <si>
    <t>BPMKS967A3</t>
  </si>
  <si>
    <t>BRC1E63</t>
    <phoneticPr fontId="8" type="noConversion"/>
  </si>
  <si>
    <t>FXMQ72MFVJU</t>
    <phoneticPr fontId="8" type="noConversion"/>
  </si>
  <si>
    <t>FXMQ96MFVJU</t>
    <phoneticPr fontId="8" type="noConversion"/>
  </si>
  <si>
    <t>BHFP22MA56</t>
  </si>
  <si>
    <t>BHFP22MA56</t>
    <phoneticPr fontId="8" type="noConversion"/>
  </si>
  <si>
    <t>BHFP22MA84</t>
    <phoneticPr fontId="8" type="noConversion"/>
  </si>
  <si>
    <t>PFM2032</t>
  </si>
  <si>
    <t>PFM40</t>
  </si>
  <si>
    <t>PFM5080</t>
  </si>
  <si>
    <t>PFM100125</t>
  </si>
  <si>
    <t>配件</t>
    <phoneticPr fontId="8" type="noConversion"/>
  </si>
  <si>
    <t>連結
機型
1</t>
    <phoneticPr fontId="8" type="noConversion"/>
  </si>
  <si>
    <t>連結
機型
2</t>
    <phoneticPr fontId="8" type="noConversion"/>
  </si>
  <si>
    <t>連結
機型
3</t>
    <phoneticPr fontId="8" type="noConversion"/>
  </si>
  <si>
    <t>RXYQ12TYLT</t>
  </si>
  <si>
    <t>RXYQ10TYLT</t>
  </si>
  <si>
    <t>PFM5080</t>
    <phoneticPr fontId="8" type="noConversion"/>
  </si>
  <si>
    <t>RXQ12AYLT</t>
  </si>
  <si>
    <t>RXQ16AYLT</t>
    <phoneticPr fontId="8" type="noConversion"/>
  </si>
  <si>
    <t>RXQ20AYLT</t>
  </si>
  <si>
    <t>RXQ12AYLT</t>
    <phoneticPr fontId="8" type="noConversion"/>
  </si>
  <si>
    <t>11.2kW</t>
  </si>
  <si>
    <t>12.5kW</t>
  </si>
  <si>
    <t>14kW</t>
  </si>
  <si>
    <t>22.4kW</t>
  </si>
  <si>
    <t>25kW</t>
  </si>
  <si>
    <t>15.5kW</t>
  </si>
  <si>
    <t>20kW</t>
  </si>
  <si>
    <t>24kW</t>
  </si>
  <si>
    <t>16kW</t>
  </si>
  <si>
    <t>28kW</t>
  </si>
  <si>
    <t>33.5kW</t>
  </si>
  <si>
    <t>40kW</t>
  </si>
  <si>
    <t>45kW</t>
  </si>
  <si>
    <t>78.5kW</t>
  </si>
  <si>
    <t>85kW</t>
  </si>
  <si>
    <t>90kW</t>
  </si>
  <si>
    <t>95kW</t>
  </si>
  <si>
    <t>130kW</t>
  </si>
  <si>
    <t>135kW</t>
  </si>
  <si>
    <t>44.8kW</t>
  </si>
  <si>
    <t>50.4kW</t>
  </si>
  <si>
    <t>106kW</t>
  </si>
  <si>
    <t>54kW</t>
  </si>
  <si>
    <t>158kW</t>
  </si>
  <si>
    <t>162kW</t>
  </si>
  <si>
    <t>67kW</t>
  </si>
  <si>
    <t>2.2kW</t>
  </si>
  <si>
    <t>2.8kW</t>
  </si>
  <si>
    <t>3.6kW</t>
  </si>
  <si>
    <t>4.5kW</t>
  </si>
  <si>
    <t>5.6kW</t>
  </si>
  <si>
    <t>7.1kW</t>
  </si>
  <si>
    <t>9kW</t>
  </si>
  <si>
    <t/>
  </si>
  <si>
    <t>100.5kW</t>
    <phoneticPr fontId="8" type="noConversion"/>
  </si>
  <si>
    <t>嵌入型(智慧感應)-全方吹+飾板</t>
  </si>
  <si>
    <t>BYCQ125EAF</t>
  </si>
  <si>
    <t>16kW</t>
    <phoneticPr fontId="8" type="noConversion"/>
  </si>
  <si>
    <t>FXFQ40AVT</t>
    <phoneticPr fontId="8" type="noConversion"/>
  </si>
  <si>
    <t>FXFQ50AVT</t>
    <phoneticPr fontId="8" type="noConversion"/>
  </si>
  <si>
    <t>FXFQ63AVT</t>
    <phoneticPr fontId="8" type="noConversion"/>
  </si>
  <si>
    <t>FXFQ80AVT</t>
    <phoneticPr fontId="8" type="noConversion"/>
  </si>
  <si>
    <t>FXFSQ140AVT</t>
    <phoneticPr fontId="8" type="noConversion"/>
  </si>
  <si>
    <t>FXFSQ125AVT</t>
    <phoneticPr fontId="8" type="noConversion"/>
  </si>
  <si>
    <t>FXFQ125AVT</t>
    <phoneticPr fontId="8" type="noConversion"/>
  </si>
  <si>
    <t>FXFQ140AVT</t>
    <phoneticPr fontId="8" type="noConversion"/>
  </si>
  <si>
    <t>BYBCQ40CF</t>
    <phoneticPr fontId="8" type="noConversion"/>
  </si>
  <si>
    <t>BYBCQ63CF</t>
    <phoneticPr fontId="8" type="noConversion"/>
  </si>
  <si>
    <t>BYBCQ125CF</t>
    <phoneticPr fontId="8" type="noConversion"/>
  </si>
  <si>
    <t>FXDQ32PDNVT</t>
    <phoneticPr fontId="8" type="noConversion"/>
  </si>
  <si>
    <t>FXDQ40NDNVT</t>
    <phoneticPr fontId="8" type="noConversion"/>
  </si>
  <si>
    <t>BRC2E61</t>
    <phoneticPr fontId="8" type="noConversion"/>
  </si>
  <si>
    <t>FXSQ20PAVT</t>
    <phoneticPr fontId="8" type="noConversion"/>
  </si>
  <si>
    <t>FXSQ25PAVT</t>
    <phoneticPr fontId="8" type="noConversion"/>
  </si>
  <si>
    <t>FXSQ32PAVT</t>
    <phoneticPr fontId="8" type="noConversion"/>
  </si>
  <si>
    <t>FXSQ40PAVT</t>
    <phoneticPr fontId="8" type="noConversion"/>
  </si>
  <si>
    <t>FXSQ50PAVT</t>
    <phoneticPr fontId="8" type="noConversion"/>
  </si>
  <si>
    <t>FXSQ63PAVT</t>
    <phoneticPr fontId="8" type="noConversion"/>
  </si>
  <si>
    <t>FXSQ140PAVT</t>
    <phoneticPr fontId="8" type="noConversion"/>
  </si>
  <si>
    <t>風管-中靜壓(排)</t>
  </si>
  <si>
    <t>FXMQ20PAVT</t>
    <phoneticPr fontId="8" type="noConversion"/>
  </si>
  <si>
    <t>FXMQ25PAVT</t>
    <phoneticPr fontId="8" type="noConversion"/>
  </si>
  <si>
    <t>FXMQ32PAVT</t>
    <phoneticPr fontId="8" type="noConversion"/>
  </si>
  <si>
    <t>FXMQ40PAVT</t>
    <phoneticPr fontId="8" type="noConversion"/>
  </si>
  <si>
    <t>FXMQ50PAVT</t>
    <phoneticPr fontId="8" type="noConversion"/>
  </si>
  <si>
    <t>FXMQ80PAVT</t>
    <phoneticPr fontId="8" type="noConversion"/>
  </si>
  <si>
    <t>FXMQ125PAVT</t>
    <phoneticPr fontId="8" type="noConversion"/>
  </si>
  <si>
    <t>FXMQ140PAVT</t>
    <phoneticPr fontId="8" type="noConversion"/>
  </si>
  <si>
    <t>FXMQ63PAVT</t>
    <phoneticPr fontId="8" type="noConversion"/>
  </si>
  <si>
    <t>FXMQ100PAVT</t>
    <phoneticPr fontId="8" type="noConversion"/>
  </si>
  <si>
    <t>FXSQ80PAVT</t>
    <phoneticPr fontId="8" type="noConversion"/>
  </si>
  <si>
    <t>FXDQ50NDVT</t>
    <phoneticPr fontId="8" type="noConversion"/>
  </si>
  <si>
    <t>FXSQ100PAVT</t>
    <phoneticPr fontId="8" type="noConversion"/>
  </si>
  <si>
    <t>FXSQ125PAVT</t>
    <phoneticPr fontId="8" type="noConversion"/>
  </si>
  <si>
    <t>RXQ20AYLT</t>
    <phoneticPr fontId="8" type="noConversion"/>
  </si>
  <si>
    <t>冷氣
能力
kW</t>
    <phoneticPr fontId="8" type="noConversion"/>
  </si>
  <si>
    <t>2.5kW</t>
    <phoneticPr fontId="8" type="noConversion"/>
  </si>
  <si>
    <t>3.0kW</t>
    <phoneticPr fontId="8" type="noConversion"/>
  </si>
  <si>
    <t>4.1kW</t>
    <phoneticPr fontId="8" type="noConversion"/>
  </si>
  <si>
    <t>2.2kW</t>
    <phoneticPr fontId="8" type="noConversion"/>
  </si>
  <si>
    <t>2.8kW</t>
    <phoneticPr fontId="8" type="noConversion"/>
  </si>
  <si>
    <t>5.0kW</t>
    <phoneticPr fontId="8" type="noConversion"/>
  </si>
  <si>
    <t>6.0kW</t>
    <phoneticPr fontId="8" type="noConversion"/>
  </si>
  <si>
    <t>FXDQ40NDVT</t>
    <phoneticPr fontId="8" type="noConversion"/>
  </si>
  <si>
    <t>FXDQ63NDVT</t>
    <phoneticPr fontId="8" type="noConversion"/>
  </si>
  <si>
    <t>FXHQ63MVET</t>
    <phoneticPr fontId="8" type="noConversion"/>
  </si>
  <si>
    <t>FXDQ20PDNVT</t>
    <phoneticPr fontId="8" type="noConversion"/>
  </si>
  <si>
    <t>FXDQ50NDNVT</t>
    <phoneticPr fontId="8" type="noConversion"/>
  </si>
  <si>
    <t>FXDQ63NDNVT</t>
    <phoneticPr fontId="8" type="noConversion"/>
  </si>
  <si>
    <t>FXDQ25PDNVT</t>
    <phoneticPr fontId="8" type="noConversion"/>
  </si>
  <si>
    <t>FXFQ100AVT</t>
    <phoneticPr fontId="8" type="noConversion"/>
  </si>
  <si>
    <t>RXQ24ANYLT</t>
    <phoneticPr fontId="8" type="noConversion"/>
  </si>
  <si>
    <t>RXQ28ANYLT</t>
    <phoneticPr fontId="8" type="noConversion"/>
  </si>
  <si>
    <t>RXQ44ANYLT</t>
    <phoneticPr fontId="8" type="noConversion"/>
  </si>
  <si>
    <t>RXQ60ANYLT</t>
    <phoneticPr fontId="8" type="noConversion"/>
  </si>
  <si>
    <t>RXYQ8AYLT</t>
    <phoneticPr fontId="8" type="noConversion"/>
  </si>
  <si>
    <t>RXYQ12AYLT</t>
  </si>
  <si>
    <t>RXYQ24ANYLT</t>
  </si>
  <si>
    <t>RXYQ30ANYLT</t>
  </si>
  <si>
    <t>RXYQ34ANYLT</t>
  </si>
  <si>
    <t>RXYQ40ANYLT</t>
  </si>
  <si>
    <t>RXYQ48ANYLT</t>
  </si>
  <si>
    <t>RXYQ16AHYLT</t>
  </si>
  <si>
    <t>RXYQ22AHYLT</t>
  </si>
  <si>
    <t>RXYQ26AHYLT</t>
  </si>
  <si>
    <t>RXYQ30AHYLT</t>
  </si>
  <si>
    <t>RXYQ36AHYLT</t>
  </si>
  <si>
    <t>RXYQ38AHYLT</t>
  </si>
  <si>
    <t>RXYQ40AHYLT</t>
  </si>
  <si>
    <t>50kW</t>
    <phoneticPr fontId="8" type="noConversion"/>
  </si>
  <si>
    <t>RXYQ12AYLT</t>
    <phoneticPr fontId="8" type="noConversion"/>
  </si>
  <si>
    <t>RXYQ18AYLT</t>
    <phoneticPr fontId="8" type="noConversion"/>
  </si>
  <si>
    <t>RXYQ20AYLT</t>
    <phoneticPr fontId="8" type="noConversion"/>
  </si>
  <si>
    <t>54kW</t>
    <phoneticPr fontId="8" type="noConversion"/>
  </si>
  <si>
    <t>61.5kW</t>
    <phoneticPr fontId="8" type="noConversion"/>
  </si>
  <si>
    <t>67kW</t>
    <phoneticPr fontId="8" type="noConversion"/>
  </si>
  <si>
    <t>73.5kW</t>
    <phoneticPr fontId="8" type="noConversion"/>
  </si>
  <si>
    <t>100kW</t>
    <phoneticPr fontId="8" type="noConversion"/>
  </si>
  <si>
    <t>104kW</t>
    <phoneticPr fontId="8" type="noConversion"/>
  </si>
  <si>
    <t>108kW</t>
    <phoneticPr fontId="8" type="noConversion"/>
  </si>
  <si>
    <t>117kW</t>
    <phoneticPr fontId="8" type="noConversion"/>
  </si>
  <si>
    <t>121kW</t>
    <phoneticPr fontId="8" type="noConversion"/>
  </si>
  <si>
    <t>RXYQ50ANYLT</t>
    <phoneticPr fontId="8" type="noConversion"/>
  </si>
  <si>
    <t>RXYQ52ANYLT</t>
    <phoneticPr fontId="8" type="noConversion"/>
  </si>
  <si>
    <t>RXYQ54ANYLT</t>
    <phoneticPr fontId="8" type="noConversion"/>
  </si>
  <si>
    <t>RXYQ56ANYLT</t>
    <phoneticPr fontId="8" type="noConversion"/>
  </si>
  <si>
    <t>RXYQ58ANYLT</t>
    <phoneticPr fontId="8" type="noConversion"/>
  </si>
  <si>
    <t>RXYQ60ANYLT</t>
    <phoneticPr fontId="8" type="noConversion"/>
  </si>
  <si>
    <t>RXYQ42AHYLT</t>
    <phoneticPr fontId="8" type="noConversion"/>
  </si>
  <si>
    <t>RXYQ44AHYLT</t>
    <phoneticPr fontId="8" type="noConversion"/>
  </si>
  <si>
    <t>RXYQ46AHYLT</t>
    <phoneticPr fontId="8" type="noConversion"/>
  </si>
  <si>
    <t>RXYQ48AHYLT</t>
    <phoneticPr fontId="8" type="noConversion"/>
  </si>
  <si>
    <t>140kW</t>
    <phoneticPr fontId="8" type="noConversion"/>
  </si>
  <si>
    <t>145kW</t>
    <phoneticPr fontId="8" type="noConversion"/>
  </si>
  <si>
    <t>150kW</t>
    <phoneticPr fontId="8" type="noConversion"/>
  </si>
  <si>
    <t>154kW</t>
    <phoneticPr fontId="8" type="noConversion"/>
  </si>
  <si>
    <t>56kW</t>
    <phoneticPr fontId="8" type="noConversion"/>
  </si>
  <si>
    <t>62.4kW</t>
    <phoneticPr fontId="8" type="noConversion"/>
  </si>
  <si>
    <t>68kW</t>
    <phoneticPr fontId="8" type="noConversion"/>
  </si>
  <si>
    <t>72.4kW</t>
    <phoneticPr fontId="8" type="noConversion"/>
  </si>
  <si>
    <t>80kW</t>
    <phoneticPr fontId="8" type="noConversion"/>
  </si>
  <si>
    <t>83.9kW</t>
    <phoneticPr fontId="8" type="noConversion"/>
  </si>
  <si>
    <t>89.4kW</t>
    <phoneticPr fontId="8" type="noConversion"/>
  </si>
  <si>
    <t>95kW</t>
    <phoneticPr fontId="8" type="noConversion"/>
  </si>
  <si>
    <t>112kW</t>
    <phoneticPr fontId="8" type="noConversion"/>
  </si>
  <si>
    <t>118kW</t>
    <phoneticPr fontId="8" type="noConversion"/>
  </si>
  <si>
    <t>123.5kW</t>
    <phoneticPr fontId="8" type="noConversion"/>
  </si>
  <si>
    <t>128kW</t>
    <phoneticPr fontId="8" type="noConversion"/>
  </si>
  <si>
    <t>133.5kW</t>
    <phoneticPr fontId="8" type="noConversion"/>
  </si>
  <si>
    <t>RXYQ10AYLT</t>
    <phoneticPr fontId="8" type="noConversion"/>
  </si>
  <si>
    <t>RXYQ14AYLT</t>
    <phoneticPr fontId="8" type="noConversion"/>
  </si>
  <si>
    <t>RXYQ16AYLT</t>
    <phoneticPr fontId="8" type="noConversion"/>
  </si>
  <si>
    <t>PFS2032</t>
    <phoneticPr fontId="8" type="noConversion"/>
  </si>
  <si>
    <t>PFS40</t>
    <phoneticPr fontId="8" type="noConversion"/>
  </si>
  <si>
    <t>PFFBA71</t>
    <phoneticPr fontId="8" type="noConversion"/>
  </si>
  <si>
    <t>PFFBA100</t>
    <phoneticPr fontId="8" type="noConversion"/>
  </si>
  <si>
    <t>PFS140</t>
    <phoneticPr fontId="8" type="noConversion"/>
  </si>
  <si>
    <t>CDXS60DVMT</t>
    <phoneticPr fontId="8" type="noConversion"/>
  </si>
  <si>
    <t>4.0kW</t>
    <phoneticPr fontId="8" type="noConversion"/>
  </si>
  <si>
    <t>7.0kW</t>
    <phoneticPr fontId="8" type="noConversion"/>
  </si>
  <si>
    <t>2.0kW</t>
    <phoneticPr fontId="8" type="noConversion"/>
  </si>
  <si>
    <t>RXYQ26ANYLT</t>
    <phoneticPr fontId="8" type="noConversion"/>
  </si>
  <si>
    <t>RXYQ32AHYLT</t>
    <phoneticPr fontId="8" type="noConversion"/>
  </si>
  <si>
    <t>FXMQ48MFVJU</t>
    <phoneticPr fontId="8" type="noConversion"/>
  </si>
  <si>
    <t>備註</t>
    <phoneticPr fontId="8" type="noConversion"/>
  </si>
  <si>
    <t>RXYQ36ANYLT</t>
    <phoneticPr fontId="8" type="noConversion"/>
  </si>
  <si>
    <t>RXYQ38ANYLT</t>
    <phoneticPr fontId="8" type="noConversion"/>
  </si>
  <si>
    <t>RXYQ32ANYLT</t>
    <phoneticPr fontId="8" type="noConversion"/>
  </si>
  <si>
    <t>RXYQ28ANYLT</t>
    <phoneticPr fontId="8" type="noConversion"/>
  </si>
  <si>
    <t>RXYQ46ANYLT</t>
    <phoneticPr fontId="8" type="noConversion"/>
  </si>
  <si>
    <t>FXMQ250MVT9</t>
  </si>
  <si>
    <t>FXMQ200MVT9</t>
    <phoneticPr fontId="8" type="noConversion"/>
  </si>
  <si>
    <t>BYCQ125EAF</t>
    <phoneticPr fontId="8" type="noConversion"/>
  </si>
  <si>
    <t>RXYQ34AHYLT</t>
    <phoneticPr fontId="8" type="noConversion"/>
  </si>
  <si>
    <t>303×998×212</t>
  </si>
  <si>
    <t>尺寸
HxWxD(mm)</t>
    <phoneticPr fontId="8" type="noConversion"/>
  </si>
  <si>
    <t>990X940X320</t>
    <phoneticPr fontId="8" type="noConversion"/>
  </si>
  <si>
    <t>1430X940X320</t>
    <phoneticPr fontId="8" type="noConversion"/>
  </si>
  <si>
    <t>1657X930X765</t>
    <phoneticPr fontId="8" type="noConversion"/>
  </si>
  <si>
    <t>1657X1240X765</t>
    <phoneticPr fontId="8" type="noConversion"/>
  </si>
  <si>
    <t>(1657X1240X765)+(1657X1240X765)</t>
    <phoneticPr fontId="8" type="noConversion"/>
  </si>
  <si>
    <t>(1657X930X765)+(1657X930X765)</t>
    <phoneticPr fontId="8" type="noConversion"/>
  </si>
  <si>
    <t>(1657X930X765)+(1657X1240X765)</t>
    <phoneticPr fontId="8" type="noConversion"/>
  </si>
  <si>
    <t>(1657X930X765)+(1657X930X765)+(1657X930X765)</t>
    <phoneticPr fontId="8" type="noConversion"/>
  </si>
  <si>
    <t>(1657X930X765)+(1657X930X765)+(1657X1240X765)</t>
    <phoneticPr fontId="8" type="noConversion"/>
  </si>
  <si>
    <t>(1657X930X765)+(1657X1240X765)+(1657X1240X765)</t>
    <phoneticPr fontId="8" type="noConversion"/>
  </si>
  <si>
    <t>(1657X1240X765)+(1657X1240X765)+(1657X1240X765)</t>
    <phoneticPr fontId="8" type="noConversion"/>
  </si>
  <si>
    <t>305X775X620</t>
    <phoneticPr fontId="8" type="noConversion"/>
  </si>
  <si>
    <t>305X990X620</t>
    <phoneticPr fontId="8" type="noConversion"/>
  </si>
  <si>
    <t>305X1445X620</t>
    <phoneticPr fontId="8" type="noConversion"/>
  </si>
  <si>
    <t>256X840X840</t>
    <phoneticPr fontId="8" type="noConversion"/>
  </si>
  <si>
    <t>298X840X840</t>
    <phoneticPr fontId="8" type="noConversion"/>
  </si>
  <si>
    <t>195X960X680</t>
    <phoneticPr fontId="8" type="noConversion"/>
  </si>
  <si>
    <t>195X1160X680</t>
    <phoneticPr fontId="8" type="noConversion"/>
  </si>
  <si>
    <t>195X1400X680</t>
    <phoneticPr fontId="8" type="noConversion"/>
  </si>
  <si>
    <t>470X1380X1100</t>
    <phoneticPr fontId="8" type="noConversion"/>
  </si>
  <si>
    <t>200X700X620</t>
    <phoneticPr fontId="8" type="noConversion"/>
  </si>
  <si>
    <t>200X900X620</t>
    <phoneticPr fontId="8" type="noConversion"/>
  </si>
  <si>
    <t>200X1100X620</t>
    <phoneticPr fontId="8" type="noConversion"/>
  </si>
  <si>
    <t>245X550X800</t>
    <phoneticPr fontId="8" type="noConversion"/>
  </si>
  <si>
    <t>245X700X800</t>
    <phoneticPr fontId="8" type="noConversion"/>
  </si>
  <si>
    <t>245X1000X800</t>
    <phoneticPr fontId="8" type="noConversion"/>
  </si>
  <si>
    <t>245X1400X800</t>
    <phoneticPr fontId="8" type="noConversion"/>
  </si>
  <si>
    <t>245X1550X800</t>
    <phoneticPr fontId="8" type="noConversion"/>
  </si>
  <si>
    <t>300X550X700</t>
    <phoneticPr fontId="8" type="noConversion"/>
  </si>
  <si>
    <t>300X700X700</t>
    <phoneticPr fontId="8" type="noConversion"/>
  </si>
  <si>
    <t>300X1000X700</t>
    <phoneticPr fontId="8" type="noConversion"/>
  </si>
  <si>
    <t>300X1400X700</t>
    <phoneticPr fontId="8" type="noConversion"/>
  </si>
  <si>
    <t>295X800X215</t>
    <phoneticPr fontId="8" type="noConversion"/>
  </si>
  <si>
    <t>290X1050X250</t>
    <phoneticPr fontId="8" type="noConversion"/>
  </si>
  <si>
    <t>470X744X1100</t>
    <phoneticPr fontId="8" type="noConversion"/>
  </si>
  <si>
    <t>RXQ10AYLT</t>
    <phoneticPr fontId="8" type="noConversion"/>
  </si>
  <si>
    <t>RXQ18AYLT</t>
    <phoneticPr fontId="8" type="noConversion"/>
  </si>
  <si>
    <t>RXQ22ANYLT</t>
    <phoneticPr fontId="8" type="noConversion"/>
  </si>
  <si>
    <t>RXQ34ANYLT</t>
  </si>
  <si>
    <t>95W</t>
    <phoneticPr fontId="8" type="noConversion"/>
  </si>
  <si>
    <t>RXQ40AN1YLT</t>
    <phoneticPr fontId="8" type="noConversion"/>
  </si>
  <si>
    <t>135kW</t>
    <phoneticPr fontId="8" type="noConversion"/>
  </si>
  <si>
    <t>RXQ52AN1YLT</t>
  </si>
  <si>
    <t>RXQ54ANYLT</t>
    <phoneticPr fontId="8" type="noConversion"/>
  </si>
  <si>
    <t>RXQ56AN1YLT</t>
    <phoneticPr fontId="8" type="noConversion"/>
  </si>
  <si>
    <t>RXQ58ANYLT</t>
    <phoneticPr fontId="8" type="noConversion"/>
  </si>
  <si>
    <t>158kW</t>
    <phoneticPr fontId="8" type="noConversion"/>
  </si>
  <si>
    <t>28kW</t>
    <phoneticPr fontId="8" type="noConversion"/>
  </si>
  <si>
    <t>RXQ42ANYLT</t>
    <phoneticPr fontId="8" type="noConversion"/>
  </si>
  <si>
    <t>33.5kW</t>
    <phoneticPr fontId="8" type="noConversion"/>
  </si>
  <si>
    <t>45kW</t>
    <phoneticPr fontId="8" type="noConversion"/>
  </si>
  <si>
    <t>78.5kW</t>
    <phoneticPr fontId="8" type="noConversion"/>
  </si>
  <si>
    <t>RXQ36AN1YLT</t>
    <phoneticPr fontId="8" type="noConversion"/>
  </si>
  <si>
    <t>KPCJ400A8</t>
    <phoneticPr fontId="8" type="noConversion"/>
  </si>
  <si>
    <t>KPC15JA8</t>
    <phoneticPr fontId="8" type="noConversion"/>
  </si>
  <si>
    <t>KPC8J8</t>
    <phoneticPr fontId="8" type="noConversion"/>
  </si>
  <si>
    <t>KPP10JA9</t>
    <phoneticPr fontId="8" type="noConversion"/>
  </si>
  <si>
    <t>RXYQ20AHYLT</t>
    <phoneticPr fontId="8" type="noConversion"/>
  </si>
  <si>
    <t>RXYQ18AHYLT</t>
    <phoneticPr fontId="8" type="noConversion"/>
  </si>
  <si>
    <t>RXYQ22ANYLT</t>
    <phoneticPr fontId="8" type="noConversion"/>
  </si>
  <si>
    <t>RXYQ44ANYLT</t>
    <phoneticPr fontId="8" type="noConversion"/>
  </si>
  <si>
    <t>RXYQ42ANYLT</t>
    <phoneticPr fontId="8" type="noConversion"/>
  </si>
  <si>
    <t>CDXS30JVLT</t>
    <phoneticPr fontId="8" type="noConversion"/>
  </si>
  <si>
    <t>CDXS40JVLT</t>
    <phoneticPr fontId="8" type="noConversion"/>
  </si>
  <si>
    <t>BPMKS967A3</t>
    <phoneticPr fontId="8" type="noConversion"/>
  </si>
  <si>
    <t>PFMQ200250</t>
    <phoneticPr fontId="8" type="noConversion"/>
  </si>
  <si>
    <t>VAM150HVLT</t>
    <phoneticPr fontId="8" type="noConversion"/>
  </si>
  <si>
    <t>VAM250HVLT</t>
    <phoneticPr fontId="8" type="noConversion"/>
  </si>
  <si>
    <t>VAM350HVLT</t>
    <phoneticPr fontId="8" type="noConversion"/>
  </si>
  <si>
    <t>VAM500HVLT</t>
    <phoneticPr fontId="8" type="noConversion"/>
  </si>
  <si>
    <t>VAM650HVLT</t>
    <phoneticPr fontId="8" type="noConversion"/>
  </si>
  <si>
    <t>VAM800HVLT</t>
    <phoneticPr fontId="8" type="noConversion"/>
  </si>
  <si>
    <t>VAM1000HVLT</t>
    <phoneticPr fontId="8" type="noConversion"/>
  </si>
  <si>
    <t>VAM1500HVLT</t>
    <phoneticPr fontId="8" type="noConversion"/>
  </si>
  <si>
    <t>VAM2000HVLT</t>
    <phoneticPr fontId="8" type="noConversion"/>
  </si>
  <si>
    <t>BRC1H62W</t>
    <phoneticPr fontId="8" type="noConversion"/>
  </si>
  <si>
    <t>278X551X810</t>
    <phoneticPr fontId="8" type="noConversion"/>
  </si>
  <si>
    <t>306X800X879</t>
    <phoneticPr fontId="8" type="noConversion"/>
  </si>
  <si>
    <t>338X832X973</t>
    <phoneticPr fontId="8" type="noConversion"/>
  </si>
  <si>
    <t>387X1012X1110</t>
    <phoneticPr fontId="8" type="noConversion"/>
  </si>
  <si>
    <t>785X1012X1110</t>
    <phoneticPr fontId="8" type="noConversion"/>
  </si>
  <si>
    <t>FTXS20KVLT</t>
    <phoneticPr fontId="8" type="noConversion"/>
  </si>
  <si>
    <t>FXAQ20AVLT</t>
    <phoneticPr fontId="8" type="noConversion"/>
  </si>
  <si>
    <t>FXAQ25AVLT</t>
    <phoneticPr fontId="8" type="noConversion"/>
  </si>
  <si>
    <t>FXAQ32AVLT</t>
    <phoneticPr fontId="8" type="noConversion"/>
  </si>
  <si>
    <t>FXAQ50AVLT</t>
    <phoneticPr fontId="8" type="noConversion"/>
  </si>
  <si>
    <t>FXAQ63AVLT</t>
    <phoneticPr fontId="8" type="noConversion"/>
  </si>
  <si>
    <t>RXYQ24AHYLT</t>
    <phoneticPr fontId="8" type="noConversion"/>
  </si>
  <si>
    <t>90kW</t>
    <phoneticPr fontId="8" type="noConversion"/>
  </si>
  <si>
    <t>BHFP26P90</t>
    <phoneticPr fontId="8" type="noConversion"/>
  </si>
  <si>
    <t>RXQ8AYLT</t>
    <phoneticPr fontId="8" type="noConversion"/>
  </si>
  <si>
    <t>RXQ14AYLT</t>
    <phoneticPr fontId="8" type="noConversion"/>
  </si>
  <si>
    <t>RXQ26ANYLT</t>
    <phoneticPr fontId="8" type="noConversion"/>
  </si>
  <si>
    <t>RXQ30ANYLT</t>
    <phoneticPr fontId="8" type="noConversion"/>
  </si>
  <si>
    <t>RXQ32AN1YLT</t>
    <phoneticPr fontId="8" type="noConversion"/>
  </si>
  <si>
    <t>RXQ46ANYLT</t>
    <phoneticPr fontId="8" type="noConversion"/>
  </si>
  <si>
    <t>RXQ48AN1YLT</t>
    <phoneticPr fontId="8" type="noConversion"/>
  </si>
  <si>
    <t>RXQ50ANYLT</t>
    <phoneticPr fontId="8" type="noConversion"/>
  </si>
  <si>
    <t>VRV A(冷專型)標準型</t>
    <phoneticPr fontId="8" type="noConversion"/>
  </si>
  <si>
    <t>VRV A(冷專型)高效型</t>
    <phoneticPr fontId="8" type="noConversion"/>
  </si>
  <si>
    <t>RXQ16AH</t>
  </si>
  <si>
    <t>RXQ18AH</t>
  </si>
  <si>
    <t>RXQ20AH</t>
  </si>
  <si>
    <t>RXQ24AH</t>
  </si>
  <si>
    <t>RXQ26AH</t>
  </si>
  <si>
    <t>RXQ28AH</t>
  </si>
  <si>
    <t>RXQ30AH</t>
  </si>
  <si>
    <t>RXQ32AH</t>
  </si>
  <si>
    <t>RXQ34AH</t>
  </si>
  <si>
    <t>RXQ36AH</t>
  </si>
  <si>
    <t>RXQ38AH</t>
  </si>
  <si>
    <t>RXQ40AH</t>
  </si>
  <si>
    <t>RXQ42AH</t>
  </si>
  <si>
    <t>RXQ44AH</t>
  </si>
  <si>
    <t>RXQ46AH</t>
  </si>
  <si>
    <t>RXQ48AH</t>
  </si>
  <si>
    <t>外氣處理機 ( 6HP)</t>
  </si>
  <si>
    <t>外氣處理機 ( 8HP)</t>
  </si>
  <si>
    <t>外氣處理機 (10HP)</t>
  </si>
  <si>
    <t>455X555X470</t>
    <phoneticPr fontId="8" type="noConversion"/>
  </si>
  <si>
    <t>290X795X266</t>
    <phoneticPr fontId="8" type="noConversion"/>
  </si>
  <si>
    <t>290X1050X269</t>
    <phoneticPr fontId="8" type="noConversion"/>
  </si>
  <si>
    <t>22.4kW</t>
    <phoneticPr fontId="8" type="noConversion"/>
  </si>
  <si>
    <t>40kW</t>
    <phoneticPr fontId="8" type="noConversion"/>
  </si>
  <si>
    <t>85kW</t>
    <phoneticPr fontId="8" type="noConversion"/>
  </si>
  <si>
    <t>130kW</t>
    <phoneticPr fontId="8" type="noConversion"/>
  </si>
  <si>
    <t>44.8kW</t>
    <phoneticPr fontId="8" type="noConversion"/>
  </si>
  <si>
    <t>50.4kW</t>
    <phoneticPr fontId="8" type="noConversion"/>
  </si>
  <si>
    <t>67.2W</t>
    <phoneticPr fontId="8" type="noConversion"/>
  </si>
  <si>
    <t>72.8W</t>
    <phoneticPr fontId="8" type="noConversion"/>
  </si>
  <si>
    <t>78.3W</t>
    <phoneticPr fontId="8" type="noConversion"/>
  </si>
  <si>
    <t>89.8kW</t>
    <phoneticPr fontId="8" type="noConversion"/>
  </si>
  <si>
    <t>95.4kW</t>
    <phoneticPr fontId="8" type="noConversion"/>
  </si>
  <si>
    <t>101kW</t>
    <phoneticPr fontId="8" type="noConversion"/>
  </si>
  <si>
    <t>106.5kW</t>
    <phoneticPr fontId="8" type="noConversion"/>
  </si>
  <si>
    <t>112.4kW</t>
    <phoneticPr fontId="8" type="noConversion"/>
  </si>
  <si>
    <t>型號</t>
    <phoneticPr fontId="8" type="noConversion"/>
  </si>
  <si>
    <t>FTXJ25NVLTW</t>
    <phoneticPr fontId="8" type="noConversion"/>
  </si>
  <si>
    <t>類別</t>
    <phoneticPr fontId="8" type="noConversion"/>
  </si>
  <si>
    <t>類型</t>
    <phoneticPr fontId="8" type="noConversion"/>
  </si>
  <si>
    <t>電壓</t>
    <phoneticPr fontId="8" type="noConversion"/>
  </si>
  <si>
    <t>單價</t>
    <phoneticPr fontId="8" type="noConversion"/>
  </si>
  <si>
    <t>側吹VRV室外機</t>
    <phoneticPr fontId="8" type="noConversion"/>
  </si>
  <si>
    <t>VRV mini</t>
    <phoneticPr fontId="8" type="noConversion"/>
  </si>
  <si>
    <t>RXYCQ4AVET</t>
    <phoneticPr fontId="8" type="noConversion"/>
  </si>
  <si>
    <t>單相/220V</t>
    <phoneticPr fontId="8" type="noConversion"/>
  </si>
  <si>
    <t>RXYCQ5AVET</t>
    <phoneticPr fontId="8" type="noConversion"/>
  </si>
  <si>
    <t>RXYCQ6AVET</t>
    <phoneticPr fontId="8" type="noConversion"/>
  </si>
  <si>
    <t>VRV IVS</t>
    <phoneticPr fontId="8" type="noConversion"/>
  </si>
  <si>
    <t>RXYMQ8TTLT</t>
    <phoneticPr fontId="8" type="noConversion"/>
  </si>
  <si>
    <t>三相/220V</t>
    <phoneticPr fontId="8" type="noConversion"/>
  </si>
  <si>
    <t>RXYMQ10TTLT</t>
    <phoneticPr fontId="8" type="noConversion"/>
  </si>
  <si>
    <t>VRV IIIS</t>
    <phoneticPr fontId="8" type="noConversion"/>
  </si>
  <si>
    <t>RXYMQ6TVET</t>
    <phoneticPr fontId="8" type="noConversion"/>
  </si>
  <si>
    <t>RXYMQ8TYLT</t>
    <phoneticPr fontId="8" type="noConversion"/>
  </si>
  <si>
    <t>三相/380V</t>
    <phoneticPr fontId="8" type="noConversion"/>
  </si>
  <si>
    <t>RXYMQ10TYLT</t>
    <phoneticPr fontId="8" type="noConversion"/>
  </si>
  <si>
    <t>VRV室外機</t>
    <phoneticPr fontId="8" type="noConversion"/>
  </si>
  <si>
    <t>VRV R 室外機</t>
    <phoneticPr fontId="8" type="noConversion"/>
  </si>
  <si>
    <t>REYQ28TAYLT</t>
    <phoneticPr fontId="8" type="noConversion"/>
  </si>
  <si>
    <t>REYQ32TAYLT</t>
    <phoneticPr fontId="8" type="noConversion"/>
  </si>
  <si>
    <t>REYQ36TAYLT</t>
    <phoneticPr fontId="8" type="noConversion"/>
  </si>
  <si>
    <t>REYQ40TAYLT</t>
    <phoneticPr fontId="8" type="noConversion"/>
  </si>
  <si>
    <t>RXQ38ANYLT</t>
  </si>
  <si>
    <t>VRV H(冷暖-標準型)</t>
    <phoneticPr fontId="8" type="noConversion"/>
  </si>
  <si>
    <t>VRV H(冷暖-高效率型)</t>
    <phoneticPr fontId="8" type="noConversion"/>
  </si>
  <si>
    <t>VRV內機</t>
    <phoneticPr fontId="8" type="noConversion"/>
  </si>
  <si>
    <t>落地箱型</t>
    <phoneticPr fontId="8" type="noConversion"/>
  </si>
  <si>
    <t>FXVQ250NTL</t>
    <phoneticPr fontId="8" type="noConversion"/>
  </si>
  <si>
    <t>FXVQ400NTL</t>
    <phoneticPr fontId="8" type="noConversion"/>
  </si>
  <si>
    <t>FXVQ500NTL</t>
    <phoneticPr fontId="8" type="noConversion"/>
  </si>
  <si>
    <t>Cube 單點式冷暖風機</t>
    <phoneticPr fontId="8" type="noConversion"/>
  </si>
  <si>
    <t>FXPQ25AVN</t>
    <phoneticPr fontId="8" type="noConversion"/>
  </si>
  <si>
    <t>嵌入型-雙向氣流+飾板</t>
    <phoneticPr fontId="8" type="noConversion"/>
  </si>
  <si>
    <t>FXCQ20AVT</t>
    <phoneticPr fontId="8" type="noConversion"/>
  </si>
  <si>
    <t>FXCQ25AVT</t>
    <phoneticPr fontId="8" type="noConversion"/>
  </si>
  <si>
    <t>FXCQ32AVT</t>
    <phoneticPr fontId="8" type="noConversion"/>
  </si>
  <si>
    <t>FXCQ40AVT</t>
    <phoneticPr fontId="8" type="noConversion"/>
  </si>
  <si>
    <t>FXCQ50AVT</t>
    <phoneticPr fontId="8" type="noConversion"/>
  </si>
  <si>
    <t>FXCQ63AVT</t>
    <phoneticPr fontId="8" type="noConversion"/>
  </si>
  <si>
    <t>FXCQ80AVT</t>
    <phoneticPr fontId="8" type="noConversion"/>
  </si>
  <si>
    <t>FXCQ125AVT</t>
    <phoneticPr fontId="8" type="noConversion"/>
  </si>
  <si>
    <t>嵌入型(智慧感應)-全方吹+飾板</t>
    <phoneticPr fontId="8" type="noConversion"/>
  </si>
  <si>
    <t>FXFSQ25AVT</t>
    <phoneticPr fontId="8" type="noConversion"/>
  </si>
  <si>
    <t>FXFSQ32AVT</t>
    <phoneticPr fontId="8" type="noConversion"/>
  </si>
  <si>
    <t>FXFSQ40AVT</t>
    <phoneticPr fontId="8" type="noConversion"/>
  </si>
  <si>
    <t>FXFSQ50AVT</t>
    <phoneticPr fontId="8" type="noConversion"/>
  </si>
  <si>
    <t>FXFSQ63AVT</t>
    <phoneticPr fontId="8" type="noConversion"/>
  </si>
  <si>
    <t>FXFSQ80AVT</t>
    <phoneticPr fontId="8" type="noConversion"/>
  </si>
  <si>
    <t>FXFSQ100AVT</t>
    <phoneticPr fontId="8" type="noConversion"/>
  </si>
  <si>
    <t>嵌入型-全方吹+飾板</t>
    <phoneticPr fontId="8" type="noConversion"/>
  </si>
  <si>
    <t>FXFQ25AVT</t>
    <phoneticPr fontId="8" type="noConversion"/>
  </si>
  <si>
    <t>FXFQ32AVT</t>
    <phoneticPr fontId="8" type="noConversion"/>
  </si>
  <si>
    <t>天吊型</t>
    <phoneticPr fontId="8" type="noConversion"/>
  </si>
  <si>
    <t>FXHQ32MVET</t>
    <phoneticPr fontId="8" type="noConversion"/>
  </si>
  <si>
    <t>FXHQ100MVET</t>
    <phoneticPr fontId="8" type="noConversion"/>
  </si>
  <si>
    <t>風管-低靜壓(排)</t>
    <phoneticPr fontId="8" type="noConversion"/>
  </si>
  <si>
    <t>FXDQ20PDVT</t>
    <phoneticPr fontId="8" type="noConversion"/>
  </si>
  <si>
    <t>FXDQ25PDVT</t>
    <phoneticPr fontId="8" type="noConversion"/>
  </si>
  <si>
    <t>FXDQ32PDVT</t>
    <phoneticPr fontId="8" type="noConversion"/>
  </si>
  <si>
    <t>風管-低靜壓</t>
    <phoneticPr fontId="8" type="noConversion"/>
  </si>
  <si>
    <t>風管-中高靜壓(排)</t>
    <phoneticPr fontId="8" type="noConversion"/>
  </si>
  <si>
    <t>風管-中高靜壓</t>
    <phoneticPr fontId="8" type="noConversion"/>
  </si>
  <si>
    <t>壁掛型</t>
    <phoneticPr fontId="8" type="noConversion"/>
  </si>
  <si>
    <t>FXAQ40AVLT</t>
    <phoneticPr fontId="8" type="noConversion"/>
  </si>
  <si>
    <t>VRV家用內機</t>
    <phoneticPr fontId="8" type="noConversion"/>
  </si>
  <si>
    <t>壁掛型歐風</t>
    <phoneticPr fontId="8" type="noConversion"/>
  </si>
  <si>
    <t>FTXJ41NVLTW</t>
    <phoneticPr fontId="8" type="noConversion"/>
  </si>
  <si>
    <t>FTXS25KVLT</t>
    <phoneticPr fontId="8" type="noConversion"/>
  </si>
  <si>
    <t>CTXS30KVLT</t>
    <phoneticPr fontId="8" type="noConversion"/>
  </si>
  <si>
    <t>FTXS40JVLT</t>
    <phoneticPr fontId="8" type="noConversion"/>
  </si>
  <si>
    <t>CTXS50JVLT</t>
    <phoneticPr fontId="8" type="noConversion"/>
  </si>
  <si>
    <t>CTXS60JVLT</t>
    <phoneticPr fontId="8" type="noConversion"/>
  </si>
  <si>
    <t>CTXS70JVLT</t>
    <phoneticPr fontId="8" type="noConversion"/>
  </si>
  <si>
    <t>天花板嵌入型</t>
    <phoneticPr fontId="8" type="noConversion"/>
  </si>
  <si>
    <t>FFQ25JVLT</t>
    <phoneticPr fontId="8" type="noConversion"/>
  </si>
  <si>
    <t>FFQ30JVLT</t>
    <phoneticPr fontId="8" type="noConversion"/>
  </si>
  <si>
    <t>FFQ40JVLT</t>
    <phoneticPr fontId="8" type="noConversion"/>
  </si>
  <si>
    <t>FFQ50JVLT</t>
    <phoneticPr fontId="8" type="noConversion"/>
  </si>
  <si>
    <t>FFQ60JVLT</t>
    <phoneticPr fontId="8" type="noConversion"/>
  </si>
  <si>
    <t>天花板風管連接薄型</t>
    <phoneticPr fontId="8" type="noConversion"/>
  </si>
  <si>
    <t>CDXS25EAVMT</t>
    <phoneticPr fontId="8" type="noConversion"/>
  </si>
  <si>
    <t>CDXS50DVMT</t>
    <phoneticPr fontId="8" type="noConversion"/>
  </si>
  <si>
    <t>HRV全熱</t>
    <phoneticPr fontId="8" type="noConversion"/>
  </si>
  <si>
    <t>H型全熱交換器</t>
    <phoneticPr fontId="8" type="noConversion"/>
  </si>
  <si>
    <t>外氣處理</t>
    <phoneticPr fontId="8" type="noConversion"/>
  </si>
  <si>
    <t>VRVQ室外機</t>
    <phoneticPr fontId="8" type="noConversion"/>
  </si>
  <si>
    <t>VRV IVQ</t>
    <phoneticPr fontId="8" type="noConversion"/>
  </si>
  <si>
    <t>RQYQ10TYLT</t>
    <phoneticPr fontId="8" type="noConversion"/>
  </si>
  <si>
    <t>RQYQ16TYLT</t>
    <phoneticPr fontId="8" type="noConversion"/>
  </si>
  <si>
    <t>水冷VRV室外機</t>
    <phoneticPr fontId="8" type="noConversion"/>
  </si>
  <si>
    <t>VRV WIII</t>
    <phoneticPr fontId="8" type="noConversion"/>
  </si>
  <si>
    <t>RWEYQ8PYLT9</t>
    <phoneticPr fontId="8" type="noConversion"/>
  </si>
  <si>
    <t>RWEYQ10PYLT9</t>
    <phoneticPr fontId="8" type="noConversion"/>
  </si>
  <si>
    <t>RWEYQ16PYLT9</t>
    <phoneticPr fontId="8" type="noConversion"/>
  </si>
  <si>
    <t>RWEYQ18PYLT9</t>
    <phoneticPr fontId="8" type="noConversion"/>
  </si>
  <si>
    <t>RWEYQ20PYLT9</t>
    <phoneticPr fontId="8" type="noConversion"/>
  </si>
  <si>
    <t>RWEYQ24PYLT9</t>
    <phoneticPr fontId="8" type="noConversion"/>
  </si>
  <si>
    <t>RWEYQ26PYLT9</t>
    <phoneticPr fontId="8" type="noConversion"/>
  </si>
  <si>
    <t>RWEYQ28PYLT9</t>
    <phoneticPr fontId="8" type="noConversion"/>
  </si>
  <si>
    <t>RWEYQ30PYLT9</t>
    <phoneticPr fontId="8" type="noConversion"/>
  </si>
  <si>
    <t>BHFP22P100-8</t>
  </si>
  <si>
    <t>BHFP22P151-8</t>
  </si>
  <si>
    <t>嵌入型-小型多向氣流+飾板</t>
    <phoneticPr fontId="8" type="noConversion"/>
  </si>
  <si>
    <t>FXZQ20AVLT</t>
    <phoneticPr fontId="8" type="noConversion"/>
  </si>
  <si>
    <t>FXZQ25AVLT</t>
    <phoneticPr fontId="8" type="noConversion"/>
  </si>
  <si>
    <t>FXZQ32AVLT</t>
    <phoneticPr fontId="8" type="noConversion"/>
  </si>
  <si>
    <t>FXZQ40AVLT</t>
    <phoneticPr fontId="8" type="noConversion"/>
  </si>
  <si>
    <t>FXZQ50AVLT</t>
    <phoneticPr fontId="8" type="noConversion"/>
  </si>
  <si>
    <t>260X575X575</t>
    <phoneticPr fontId="8" type="noConversion"/>
  </si>
  <si>
    <t>BRC7M765</t>
  </si>
  <si>
    <t>BRC7M765</t>
    <phoneticPr fontId="8" type="noConversion"/>
  </si>
  <si>
    <t>FTXS30KVLT</t>
    <phoneticPr fontId="8" type="noConversion"/>
  </si>
  <si>
    <t xml:space="preserve"> </t>
    <phoneticPr fontId="8" type="noConversion"/>
  </si>
  <si>
    <t>風管-中高靜壓(DC馬達)</t>
    <phoneticPr fontId="8" type="noConversion"/>
  </si>
  <si>
    <t>FXMQ200PVMT</t>
    <phoneticPr fontId="8" type="noConversion"/>
  </si>
  <si>
    <t>FXMQ250PVMT</t>
    <phoneticPr fontId="8" type="noConversion"/>
  </si>
  <si>
    <t>H型全熱交換器(PM2.5)</t>
    <phoneticPr fontId="8" type="noConversion"/>
  </si>
  <si>
    <t>VAMF150HVLT</t>
    <phoneticPr fontId="8" type="noConversion"/>
  </si>
  <si>
    <t>VAMF250HVLT</t>
    <phoneticPr fontId="8" type="noConversion"/>
  </si>
  <si>
    <t>VAMF350HVLT</t>
    <phoneticPr fontId="8" type="noConversion"/>
  </si>
  <si>
    <t>外氣處理機 ( 3.5HP)</t>
    <phoneticPr fontId="8" type="noConversion"/>
  </si>
  <si>
    <t>FXMQ140AFVLT</t>
    <phoneticPr fontId="8" type="noConversion"/>
  </si>
  <si>
    <t>FXMQ80AFVLT</t>
    <phoneticPr fontId="8" type="noConversion"/>
  </si>
  <si>
    <t>FXMQ200AFVLT</t>
    <phoneticPr fontId="8" type="noConversion"/>
  </si>
  <si>
    <t>FXMQ250AFVLT</t>
    <phoneticPr fontId="8" type="noConversion"/>
  </si>
  <si>
    <t>RXYQ28AHYLT</t>
    <phoneticPr fontId="8" type="noConversion"/>
  </si>
  <si>
    <t>家用一對一室內機</t>
    <phoneticPr fontId="8" type="noConversion"/>
  </si>
  <si>
    <t>FTXM28ZVLT</t>
    <phoneticPr fontId="8" type="noConversion"/>
  </si>
  <si>
    <t>FTXM22ZVLT</t>
    <phoneticPr fontId="8" type="noConversion"/>
  </si>
  <si>
    <t>FTXM36ZVLT</t>
    <phoneticPr fontId="8" type="noConversion"/>
  </si>
  <si>
    <t>FTXM41ZVLT</t>
    <phoneticPr fontId="8" type="noConversion"/>
  </si>
  <si>
    <t>FTXM50ZVLT</t>
    <phoneticPr fontId="8" type="noConversion"/>
  </si>
  <si>
    <t>FTXM60ZVLT</t>
    <phoneticPr fontId="8" type="noConversion"/>
  </si>
  <si>
    <t>FTXM71ZVLT</t>
    <phoneticPr fontId="8" type="noConversion"/>
  </si>
  <si>
    <t>FTXM80ZVLT</t>
    <phoneticPr fontId="8" type="noConversion"/>
  </si>
  <si>
    <t>FTXM90ZVLT</t>
    <phoneticPr fontId="8" type="noConversion"/>
  </si>
  <si>
    <t>RXM22ZVLT</t>
    <phoneticPr fontId="8" type="noConversion"/>
  </si>
  <si>
    <t>家用一對一室外機</t>
    <phoneticPr fontId="8" type="noConversion"/>
  </si>
  <si>
    <t>RXM28ZVLT</t>
    <phoneticPr fontId="8" type="noConversion"/>
  </si>
  <si>
    <t>RXM36ZVLT</t>
    <phoneticPr fontId="8" type="noConversion"/>
  </si>
  <si>
    <t>RXM41ZVLT</t>
    <phoneticPr fontId="8" type="noConversion"/>
  </si>
  <si>
    <t>RXM50ZVLT</t>
    <phoneticPr fontId="8" type="noConversion"/>
  </si>
  <si>
    <t>RXM60ZVLT</t>
    <phoneticPr fontId="8" type="noConversion"/>
  </si>
  <si>
    <t>RXM71ZVLT</t>
    <phoneticPr fontId="8" type="noConversion"/>
  </si>
  <si>
    <t>RXM80ZVLT</t>
    <phoneticPr fontId="8" type="noConversion"/>
  </si>
  <si>
    <t>RXM90ZVLT</t>
    <phoneticPr fontId="8" type="noConversion"/>
  </si>
  <si>
    <t>商用一對一室內機</t>
    <phoneticPr fontId="8" type="noConversion"/>
  </si>
  <si>
    <t>FCA71CVLT</t>
    <phoneticPr fontId="8" type="noConversion"/>
  </si>
  <si>
    <t>FBA71BVLT</t>
    <phoneticPr fontId="8" type="noConversion"/>
  </si>
  <si>
    <t>商用一對一室外機</t>
    <phoneticPr fontId="8" type="noConversion"/>
  </si>
  <si>
    <t>RZAC71DVLT</t>
    <phoneticPr fontId="8" type="noConversion"/>
  </si>
  <si>
    <t>FCA100CVLT</t>
    <phoneticPr fontId="8" type="noConversion"/>
  </si>
  <si>
    <t>FBA100BVLT</t>
    <phoneticPr fontId="8" type="noConversion"/>
  </si>
  <si>
    <t>RZAC100DVLT</t>
    <phoneticPr fontId="8" type="noConversion"/>
  </si>
  <si>
    <t>FCA125CVLT</t>
    <phoneticPr fontId="8" type="noConversion"/>
  </si>
  <si>
    <t>FBA125BVLT</t>
    <phoneticPr fontId="8" type="noConversion"/>
  </si>
  <si>
    <t>RZAC125DVLT</t>
    <phoneticPr fontId="8" type="noConversion"/>
  </si>
  <si>
    <t>FCA140CVLT</t>
    <phoneticPr fontId="8" type="noConversion"/>
  </si>
  <si>
    <t>FBA140BVLT</t>
    <phoneticPr fontId="8" type="noConversion"/>
  </si>
  <si>
    <t>RZAC140DVLT</t>
    <phoneticPr fontId="8" type="noConversion"/>
  </si>
  <si>
    <t>家用一對多室外機</t>
    <phoneticPr fontId="8" type="noConversion"/>
  </si>
  <si>
    <t>4MXM110YVLT</t>
    <phoneticPr fontId="8" type="noConversion"/>
  </si>
  <si>
    <t>3MXM90YVLT</t>
    <phoneticPr fontId="8" type="noConversion"/>
  </si>
  <si>
    <t>2MXM75YVLT</t>
    <phoneticPr fontId="8" type="noConversion"/>
  </si>
  <si>
    <t>2MXM56YVLT</t>
    <phoneticPr fontId="8" type="noConversion"/>
  </si>
  <si>
    <t>家用一對多室內機</t>
    <phoneticPr fontId="8" type="noConversion"/>
  </si>
  <si>
    <t>FTXM22YVLT</t>
    <phoneticPr fontId="8" type="noConversion"/>
  </si>
  <si>
    <t>FTXM28YVLT</t>
    <phoneticPr fontId="8" type="noConversion"/>
  </si>
  <si>
    <t>FTXM36YVLT</t>
    <phoneticPr fontId="8" type="noConversion"/>
  </si>
  <si>
    <t>FTXM41YVLT</t>
    <phoneticPr fontId="8" type="noConversion"/>
  </si>
  <si>
    <t>FTXM50YVLT</t>
    <phoneticPr fontId="8" type="noConversion"/>
  </si>
  <si>
    <t>FTXM60YVLT</t>
    <phoneticPr fontId="8" type="noConversion"/>
  </si>
  <si>
    <t>FTXM71YVLT</t>
    <phoneticPr fontId="8" type="noConversion"/>
  </si>
  <si>
    <t>FTXM80RVLT</t>
    <phoneticPr fontId="8" type="noConversion"/>
  </si>
  <si>
    <t>FTXM90RVLT</t>
    <phoneticPr fontId="8" type="noConversion"/>
  </si>
  <si>
    <t>FDXV22RVLT</t>
    <phoneticPr fontId="8" type="noConversion"/>
  </si>
  <si>
    <t>FDXV28RVLT</t>
    <phoneticPr fontId="8" type="noConversion"/>
  </si>
  <si>
    <t>FDXV36RVLT</t>
    <phoneticPr fontId="8" type="noConversion"/>
  </si>
  <si>
    <t>FDXV41RVLT</t>
    <phoneticPr fontId="8" type="noConversion"/>
  </si>
  <si>
    <t>FDXV50RVLT</t>
    <phoneticPr fontId="8" type="noConversion"/>
  </si>
  <si>
    <t>FDXV60RVLT</t>
    <phoneticPr fontId="8" type="noConversion"/>
  </si>
  <si>
    <t>FDXV71RVLT</t>
    <phoneticPr fontId="8" type="noConversion"/>
  </si>
  <si>
    <t>連接指數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</si>
</sst>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$&quot;* #,##0_-;\-&quot;$&quot;* #,##0_-;_-&quot;$&quot;* &quot;-&quot;_-;_-@_-"/>
    <numFmt numFmtId="176" formatCode="#,##0_);[Red]\(#,##0\)"/>
    <numFmt numFmtId="177" formatCode="#,##0.0_);\(#,##0.0\)"/>
    <numFmt numFmtId="178" formatCode="#,##0.0_);[Red]\(#,##0.0\)"/>
    <numFmt numFmtId="179" formatCode="0.0_);[Red]\(0.0\)"/>
  </numFmts>
  <fonts count="32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Helv"/>
      <family val="2"/>
    </font>
    <font>
      <sz val="8"/>
      <name val="Times"/>
      <family val="1"/>
    </font>
    <font>
      <b/>
      <sz val="8.3000000000000007"/>
      <name val="Helv"/>
      <family val="2"/>
    </font>
    <font>
      <sz val="8"/>
      <name val="Arial"/>
      <family val="2"/>
    </font>
    <font>
      <b/>
      <sz val="10"/>
      <name val="Times"/>
      <family val="1"/>
    </font>
    <font>
      <i/>
      <sz val="8"/>
      <name val="Times"/>
      <family val="1"/>
    </font>
    <font>
      <sz val="9"/>
      <name val="新細明體"/>
      <family val="1"/>
      <charset val="136"/>
    </font>
    <font>
      <sz val="12"/>
      <name val="微軟正黑體"/>
      <family val="2"/>
      <charset val="136"/>
    </font>
    <font>
      <sz val="12"/>
      <name val="Microsoft JhengHei"/>
      <family val="2"/>
      <charset val="136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12"/>
      <color theme="1"/>
      <name val="微軟正黑體"/>
      <family val="2"/>
      <charset val="136"/>
    </font>
    <font>
      <sz val="12"/>
      <color theme="7" tint="-0.249977111117893"/>
      <name val="微軟正黑體"/>
      <family val="2"/>
      <charset val="136"/>
    </font>
    <font>
      <sz val="12"/>
      <color theme="6" tint="-0.499984740745262"/>
      <name val="微軟正黑體"/>
      <family val="2"/>
      <charset val="136"/>
    </font>
    <font>
      <sz val="12"/>
      <color theme="9" tint="-0.249977111117893"/>
      <name val="微軟正黑體"/>
      <family val="2"/>
      <charset val="136"/>
    </font>
    <font>
      <sz val="12"/>
      <color theme="3" tint="-0.249977111117893"/>
      <name val="微軟正黑體"/>
      <family val="2"/>
      <charset val="136"/>
    </font>
    <font>
      <sz val="12"/>
      <color rgb="FFC00000"/>
      <name val="微軟正黑體"/>
      <family val="2"/>
      <charset val="136"/>
    </font>
    <font>
      <sz val="12"/>
      <color theme="8" tint="-0.249977111117893"/>
      <name val="微軟正黑體"/>
      <family val="2"/>
      <charset val="136"/>
    </font>
    <font>
      <sz val="12"/>
      <color theme="3" tint="0.39997558519241921"/>
      <name val="微軟正黑體"/>
      <family val="2"/>
      <charset val="136"/>
    </font>
    <font>
      <sz val="12"/>
      <color rgb="FF7030A0"/>
      <name val="微軟正黑體"/>
      <family val="2"/>
      <charset val="136"/>
    </font>
    <font>
      <sz val="12"/>
      <color rgb="FF00CC00"/>
      <name val="微軟正黑體"/>
      <family val="2"/>
      <charset val="136"/>
    </font>
    <font>
      <sz val="12"/>
      <color theme="5" tint="-0.249977111117893"/>
      <name val="微軟正黑體"/>
      <family val="2"/>
      <charset val="136"/>
    </font>
    <font>
      <sz val="12"/>
      <color rgb="FFCC00CC"/>
      <name val="微軟正黑體"/>
      <family val="2"/>
      <charset val="136"/>
    </font>
    <font>
      <sz val="12"/>
      <color rgb="FF3333CC"/>
      <name val="微軟正黑體"/>
      <family val="2"/>
      <charset val="136"/>
    </font>
    <font>
      <sz val="12"/>
      <color theme="5" tint="-0.499984740745262"/>
      <name val="微軟正黑體"/>
      <family val="2"/>
      <charset val="136"/>
    </font>
    <font>
      <sz val="12"/>
      <color theme="6" tint="-0.249977111117893"/>
      <name val="微軟正黑體"/>
      <family val="2"/>
      <charset val="136"/>
    </font>
    <font>
      <sz val="12"/>
      <color rgb="FF996633"/>
      <name val="微軟正黑體"/>
      <family val="2"/>
      <charset val="136"/>
    </font>
    <font>
      <sz val="12"/>
      <color rgb="FFFF9900"/>
      <name val="微軟正黑體"/>
      <family val="2"/>
      <charset val="136"/>
    </font>
    <font>
      <sz val="12"/>
      <color rgb="FF990000"/>
      <name val="微軟正黑體"/>
      <family val="2"/>
      <charset val="136"/>
    </font>
    <font>
      <sz val="12"/>
      <color theme="3"/>
      <name val="微軟正黑體"/>
      <family val="2"/>
      <charset val="136"/>
    </font>
  </fonts>
  <fills count="14">
    <fill>
      <patternFill patternType="none"/>
    </fill>
    <fill>
      <patternFill patternType="gray125"/>
    </fill>
    <fill>
      <patternFill patternType="gray0625">
        <fgColor indexed="1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</borders>
  <cellStyleXfs count="15">
    <xf numFmtId="0" fontId="0" fillId="0" borderId="0">
      <alignment vertical="center"/>
    </xf>
    <xf numFmtId="0" fontId="1" fillId="0" borderId="0"/>
    <xf numFmtId="0" fontId="3" fillId="0" borderId="0"/>
    <xf numFmtId="0" fontId="4" fillId="2" borderId="1" applyNumberFormat="0" applyAlignment="0"/>
    <xf numFmtId="37" fontId="5" fillId="0" borderId="0" applyFill="0" applyBorder="0" applyAlignment="0" applyProtection="0"/>
    <xf numFmtId="177" fontId="5" fillId="0" borderId="0" applyFill="0" applyBorder="0" applyAlignment="0" applyProtection="0"/>
    <xf numFmtId="0" fontId="6" fillId="0" borderId="0"/>
    <xf numFmtId="0" fontId="7" fillId="0" borderId="0"/>
    <xf numFmtId="4" fontId="5" fillId="0" borderId="0"/>
    <xf numFmtId="3" fontId="5" fillId="0" borderId="0" applyNumberFormat="0" applyFont="0" applyAlignment="0"/>
    <xf numFmtId="0" fontId="1" fillId="0" borderId="0"/>
    <xf numFmtId="0" fontId="11" fillId="0" borderId="0"/>
    <xf numFmtId="0" fontId="12" fillId="0" borderId="0"/>
    <xf numFmtId="42" fontId="1" fillId="0" borderId="0" applyFont="0" applyFill="0" applyBorder="0" applyAlignment="0" applyProtection="0"/>
    <xf numFmtId="0" fontId="2" fillId="0" borderId="0"/>
  </cellStyleXfs>
  <cellXfs count="52">
    <xf numFmtId="0" fontId="0" fillId="0" borderId="0" xfId="0">
      <alignment vertical="center"/>
    </xf>
    <xf numFmtId="0" fontId="13" fillId="0" borderId="0" xfId="11" applyFont="1" applyAlignment="1">
      <alignment vertical="center"/>
    </xf>
    <xf numFmtId="0" fontId="13" fillId="0" borderId="0" xfId="11" applyFont="1" applyAlignment="1">
      <alignment horizontal="center" vertical="center"/>
    </xf>
    <xf numFmtId="0" fontId="13" fillId="4" borderId="0" xfId="11" applyFont="1" applyFill="1" applyAlignment="1">
      <alignment vertical="center"/>
    </xf>
    <xf numFmtId="0" fontId="14" fillId="0" borderId="0" xfId="11" applyFont="1" applyAlignment="1">
      <alignment vertical="center"/>
    </xf>
    <xf numFmtId="0" fontId="15" fillId="0" borderId="0" xfId="11" applyFont="1" applyAlignment="1">
      <alignment vertical="center"/>
    </xf>
    <xf numFmtId="0" fontId="16" fillId="0" borderId="0" xfId="11" applyFont="1" applyAlignment="1">
      <alignment vertical="center"/>
    </xf>
    <xf numFmtId="0" fontId="13" fillId="5" borderId="0" xfId="11" applyFont="1" applyFill="1" applyAlignment="1">
      <alignment vertical="center"/>
    </xf>
    <xf numFmtId="0" fontId="16" fillId="0" borderId="0" xfId="11" applyFont="1" applyAlignment="1">
      <alignment vertical="center" wrapText="1"/>
    </xf>
    <xf numFmtId="0" fontId="17" fillId="0" borderId="0" xfId="11" applyFont="1" applyAlignment="1">
      <alignment vertical="center"/>
    </xf>
    <xf numFmtId="0" fontId="10" fillId="0" borderId="0" xfId="11" applyFont="1" applyFill="1" applyAlignment="1">
      <alignment vertical="center"/>
    </xf>
    <xf numFmtId="0" fontId="9" fillId="0" borderId="0" xfId="11" applyFont="1" applyFill="1" applyAlignment="1">
      <alignment vertical="center"/>
    </xf>
    <xf numFmtId="0" fontId="18" fillId="0" borderId="0" xfId="11" applyFont="1" applyAlignment="1">
      <alignment vertical="center"/>
    </xf>
    <xf numFmtId="0" fontId="13" fillId="6" borderId="0" xfId="11" applyFont="1" applyFill="1" applyAlignment="1">
      <alignment vertical="center"/>
    </xf>
    <xf numFmtId="0" fontId="19" fillId="0" borderId="0" xfId="11" applyFont="1" applyAlignment="1">
      <alignment vertical="center"/>
    </xf>
    <xf numFmtId="0" fontId="20" fillId="0" borderId="0" xfId="11" applyFont="1" applyAlignment="1">
      <alignment vertical="center"/>
    </xf>
    <xf numFmtId="0" fontId="21" fillId="7" borderId="0" xfId="11" applyFont="1" applyFill="1" applyAlignment="1">
      <alignment vertical="center"/>
    </xf>
    <xf numFmtId="0" fontId="22" fillId="0" borderId="0" xfId="11" applyFont="1" applyAlignment="1">
      <alignment vertical="center"/>
    </xf>
    <xf numFmtId="0" fontId="23" fillId="0" borderId="0" xfId="11" applyFont="1" applyAlignment="1">
      <alignment vertical="center"/>
    </xf>
    <xf numFmtId="0" fontId="24" fillId="0" borderId="0" xfId="11" applyFont="1" applyAlignment="1">
      <alignment vertical="center"/>
    </xf>
    <xf numFmtId="0" fontId="25" fillId="0" borderId="0" xfId="11" applyFont="1" applyAlignment="1">
      <alignment vertical="center"/>
    </xf>
    <xf numFmtId="0" fontId="26" fillId="0" borderId="0" xfId="11" applyFont="1" applyAlignment="1">
      <alignment vertical="center"/>
    </xf>
    <xf numFmtId="0" fontId="27" fillId="0" borderId="0" xfId="11" applyFont="1" applyAlignment="1">
      <alignment vertical="center"/>
    </xf>
    <xf numFmtId="0" fontId="28" fillId="0" borderId="0" xfId="11" applyFont="1" applyAlignment="1">
      <alignment vertical="center"/>
    </xf>
    <xf numFmtId="0" fontId="13" fillId="8" borderId="0" xfId="11" applyFont="1" applyFill="1" applyAlignment="1">
      <alignment vertical="center"/>
    </xf>
    <xf numFmtId="0" fontId="29" fillId="0" borderId="0" xfId="11" applyFont="1" applyAlignment="1">
      <alignment vertical="center"/>
    </xf>
    <xf numFmtId="0" fontId="30" fillId="0" borderId="0" xfId="11" applyFont="1" applyAlignment="1">
      <alignment vertical="center"/>
    </xf>
    <xf numFmtId="0" fontId="13" fillId="9" borderId="0" xfId="11" applyFont="1" applyFill="1" applyAlignment="1">
      <alignment vertical="center"/>
    </xf>
    <xf numFmtId="0" fontId="21" fillId="0" borderId="0" xfId="11" applyFont="1" applyFill="1" applyAlignment="1">
      <alignment vertical="center"/>
    </xf>
    <xf numFmtId="0" fontId="13" fillId="10" borderId="0" xfId="11" applyFont="1" applyFill="1" applyAlignment="1">
      <alignment vertical="center"/>
    </xf>
    <xf numFmtId="0" fontId="31" fillId="0" borderId="0" xfId="11" applyFont="1" applyAlignment="1">
      <alignment vertical="center"/>
    </xf>
    <xf numFmtId="0" fontId="13" fillId="11" borderId="0" xfId="11" applyFont="1" applyFill="1" applyAlignment="1">
      <alignment vertical="center"/>
    </xf>
    <xf numFmtId="0" fontId="13" fillId="12" borderId="0" xfId="11" applyFont="1" applyFill="1" applyAlignment="1">
      <alignment vertical="center"/>
    </xf>
    <xf numFmtId="0" fontId="13" fillId="13" borderId="0" xfId="11" applyFont="1" applyFill="1" applyAlignment="1">
      <alignment vertical="center"/>
    </xf>
    <xf numFmtId="0" fontId="9" fillId="0" borderId="0" xfId="11" applyFont="1" applyAlignment="1">
      <alignment horizontal="center" vertical="center"/>
    </xf>
    <xf numFmtId="0" fontId="9" fillId="0" borderId="0" xfId="11" applyFont="1" applyAlignment="1">
      <alignment horizontal="center" vertical="center" wrapText="1"/>
    </xf>
    <xf numFmtId="179" fontId="9" fillId="0" borderId="0" xfId="11" applyNumberFormat="1" applyFont="1" applyAlignment="1">
      <alignment horizontal="right" vertical="center" wrapText="1"/>
    </xf>
    <xf numFmtId="0" fontId="9" fillId="0" borderId="0" xfId="11" applyFont="1" applyFill="1" applyAlignment="1">
      <alignment horizontal="center" vertical="center" wrapText="1"/>
    </xf>
    <xf numFmtId="179" fontId="9" fillId="0" borderId="0" xfId="11" applyNumberFormat="1" applyFont="1" applyFill="1" applyAlignment="1">
      <alignment horizontal="center" vertical="center" wrapText="1"/>
    </xf>
    <xf numFmtId="179" fontId="9" fillId="0" borderId="0" xfId="11" applyNumberFormat="1" applyFont="1" applyAlignment="1">
      <alignment horizontal="center" vertical="center" wrapText="1"/>
    </xf>
    <xf numFmtId="0" fontId="9" fillId="0" borderId="0" xfId="11" applyFont="1" applyAlignment="1">
      <alignment vertical="center"/>
    </xf>
    <xf numFmtId="176" fontId="9" fillId="0" borderId="0" xfId="11" applyNumberFormat="1" applyFont="1" applyAlignment="1">
      <alignment vertical="center"/>
    </xf>
    <xf numFmtId="176" fontId="9" fillId="0" borderId="0" xfId="11" applyNumberFormat="1" applyFont="1" applyFill="1" applyAlignment="1">
      <alignment vertical="center"/>
    </xf>
    <xf numFmtId="179" fontId="9" fillId="0" borderId="0" xfId="0" applyNumberFormat="1" applyFont="1" applyAlignment="1">
      <alignment horizontal="right" vertical="center"/>
    </xf>
    <xf numFmtId="0" fontId="9" fillId="0" borderId="0" xfId="11" applyFont="1" applyFill="1" applyAlignment="1">
      <alignment horizontal="center" vertical="center"/>
    </xf>
    <xf numFmtId="179" fontId="9" fillId="0" borderId="0" xfId="11" applyNumberFormat="1" applyFont="1" applyAlignment="1">
      <alignment horizontal="right" vertical="center"/>
    </xf>
    <xf numFmtId="179" fontId="9" fillId="0" borderId="0" xfId="11" applyNumberFormat="1" applyFont="1" applyFill="1" applyAlignment="1">
      <alignment horizontal="center" vertical="center"/>
    </xf>
    <xf numFmtId="178" fontId="9" fillId="0" borderId="0" xfId="11" applyNumberFormat="1" applyFont="1" applyFill="1" applyAlignment="1">
      <alignment horizontal="center" vertical="center"/>
    </xf>
    <xf numFmtId="179" fontId="9" fillId="0" borderId="0" xfId="0" applyNumberFormat="1" applyFont="1" applyFill="1" applyAlignment="1">
      <alignment horizontal="right" vertical="center"/>
    </xf>
    <xf numFmtId="179" fontId="9" fillId="0" borderId="0" xfId="11" applyNumberFormat="1" applyFont="1" applyAlignment="1">
      <alignment horizontal="center" vertical="center"/>
    </xf>
    <xf numFmtId="176" fontId="9" fillId="3" borderId="0" xfId="11" applyNumberFormat="1" applyFont="1" applyFill="1" applyAlignment="1">
      <alignment vertical="center"/>
    </xf>
    <xf numFmtId="0" fontId="9" fillId="7" borderId="0" xfId="11" applyFont="1" applyFill="1" applyAlignment="1">
      <alignment vertical="center"/>
    </xf>
  </cellXfs>
  <cellStyles count="15">
    <cellStyle name="0,0_x000d__x000a_NA_x000d__x000a_" xfId="1" xr:uid="{00000000-0005-0000-0000-000000000000}"/>
    <cellStyle name="BROAD SCOPE" xfId="2" xr:uid="{00000000-0005-0000-0000-000001000000}"/>
    <cellStyle name="BROAD_SCOPE" xfId="3" xr:uid="{00000000-0005-0000-0000-000002000000}"/>
    <cellStyle name="Comma(0)" xfId="4" xr:uid="{00000000-0005-0000-0000-000003000000}"/>
    <cellStyle name="Comma(1)" xfId="5" xr:uid="{00000000-0005-0000-0000-000004000000}"/>
    <cellStyle name="MEDIUM SCOPE" xfId="6" xr:uid="{00000000-0005-0000-0000-000005000000}"/>
    <cellStyle name="NARROW SCOPE" xfId="7" xr:uid="{00000000-0005-0000-0000-000006000000}"/>
    <cellStyle name="Rate_1" xfId="8" xr:uid="{00000000-0005-0000-0000-000007000000}"/>
    <cellStyle name="Schedule" xfId="9" xr:uid="{00000000-0005-0000-0000-000008000000}"/>
    <cellStyle name="一般" xfId="0" builtinId="0"/>
    <cellStyle name="一般 2" xfId="10" xr:uid="{00000000-0005-0000-0000-00000A000000}"/>
    <cellStyle name="一般 3" xfId="11" xr:uid="{00000000-0005-0000-0000-00000B000000}"/>
    <cellStyle name="一般 4" xfId="12" xr:uid="{00000000-0005-0000-0000-00000C000000}"/>
    <cellStyle name="貨幣[0]_馬偕 11F VRV設備 " xfId="13" xr:uid="{00000000-0005-0000-0000-00000D000000}"/>
    <cellStyle name="樣式 1" xfId="14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2">
    <pageSetUpPr fitToPage="1"/>
  </sheetPr>
  <dimension ref="A1:O282"/>
  <sheetViews>
    <sheetView tabSelected="1" view="pageBreakPreview" zoomScaleNormal="100" zoomScaleSheetLayoutView="100" workbookViewId="0">
      <pane xSplit="3" ySplit="1" topLeftCell="D251" activePane="bottomRight" state="frozen"/>
      <selection pane="topRight" activeCell="D1" sqref="D1"/>
      <selection pane="bottomLeft" activeCell="A2" sqref="A2"/>
      <selection pane="bottomRight" activeCell="G257" sqref="G257"/>
    </sheetView>
  </sheetViews>
  <sheetFormatPr defaultColWidth="9" defaultRowHeight="15.6"/>
  <cols>
    <col min="1" max="1" width="18.77734375" style="1" customWidth="1"/>
    <col min="2" max="2" width="22.44140625" style="1" customWidth="1"/>
    <col min="3" max="3" width="16.109375" style="40" customWidth="1"/>
    <col min="4" max="4" width="11.6640625" style="40" hidden="1" customWidth="1"/>
    <col min="5" max="5" width="12.77734375" style="40" hidden="1" customWidth="1"/>
    <col min="6" max="6" width="42.6640625" style="40" hidden="1" customWidth="1"/>
    <col min="7" max="7" width="9.6640625" style="45" customWidth="1"/>
    <col min="8" max="8" width="21" style="11" hidden="1" customWidth="1"/>
    <col min="9" max="9" width="15.88671875" style="46" customWidth="1"/>
    <col min="10" max="10" width="15.109375" style="44" customWidth="1"/>
    <col min="11" max="11" width="15.21875" style="34" customWidth="1"/>
    <col min="12" max="12" width="18.77734375" style="40" hidden="1" customWidth="1"/>
    <col min="13" max="14" width="0" style="1" hidden="1" customWidth="1"/>
    <col min="15" max="16384" width="9" style="1"/>
  </cols>
  <sheetData>
    <row r="1" spans="1:15" ht="66" customHeight="1">
      <c r="A1" s="1" t="s">
        <v>336</v>
      </c>
      <c r="B1" s="2" t="s">
        <v>337</v>
      </c>
      <c r="C1" s="34" t="s">
        <v>334</v>
      </c>
      <c r="D1" s="34" t="s">
        <v>338</v>
      </c>
      <c r="E1" s="34" t="s">
        <v>339</v>
      </c>
      <c r="F1" s="35" t="s">
        <v>186</v>
      </c>
      <c r="G1" s="36" t="s">
        <v>97</v>
      </c>
      <c r="H1" s="37" t="s">
        <v>11</v>
      </c>
      <c r="I1" s="38" t="s">
        <v>12</v>
      </c>
      <c r="J1" s="38" t="s">
        <v>13</v>
      </c>
      <c r="K1" s="39" t="s">
        <v>14</v>
      </c>
      <c r="L1" s="35" t="s">
        <v>197</v>
      </c>
      <c r="O1" s="1" t="s">
        <v>521</v>
      </c>
    </row>
    <row r="2" spans="1:15">
      <c r="A2" s="3" t="s">
        <v>340</v>
      </c>
      <c r="B2" s="4" t="s">
        <v>341</v>
      </c>
      <c r="C2" s="40" t="s">
        <v>342</v>
      </c>
      <c r="D2" s="40" t="s">
        <v>343</v>
      </c>
      <c r="E2" s="41">
        <v>102200</v>
      </c>
      <c r="F2" s="42" t="str">
        <f t="shared" ref="F2:F65" si="0">B2&amp;"  "&amp;D2&amp;"  "&amp;G2</f>
        <v>VRV mini  單相/220V  11.2kW</v>
      </c>
      <c r="G2" s="43" t="s">
        <v>22</v>
      </c>
      <c r="H2" s="44">
        <v>100</v>
      </c>
      <c r="J2" s="47"/>
      <c r="L2" s="40" t="s">
        <v>198</v>
      </c>
      <c r="O2" s="1">
        <v>100</v>
      </c>
    </row>
    <row r="3" spans="1:15">
      <c r="A3" s="3" t="s">
        <v>340</v>
      </c>
      <c r="B3" s="4" t="s">
        <v>341</v>
      </c>
      <c r="C3" s="40" t="s">
        <v>344</v>
      </c>
      <c r="D3" s="40" t="s">
        <v>343</v>
      </c>
      <c r="E3" s="41">
        <v>116800</v>
      </c>
      <c r="F3" s="42" t="str">
        <f t="shared" si="0"/>
        <v>VRV mini  單相/220V  12.5kW</v>
      </c>
      <c r="G3" s="43" t="s">
        <v>23</v>
      </c>
      <c r="H3" s="44">
        <v>112</v>
      </c>
      <c r="L3" s="40" t="s">
        <v>198</v>
      </c>
      <c r="O3" s="1">
        <v>112</v>
      </c>
    </row>
    <row r="4" spans="1:15">
      <c r="A4" s="3" t="s">
        <v>340</v>
      </c>
      <c r="B4" s="4" t="s">
        <v>341</v>
      </c>
      <c r="C4" s="40" t="s">
        <v>345</v>
      </c>
      <c r="D4" s="40" t="s">
        <v>343</v>
      </c>
      <c r="E4" s="41">
        <v>131400</v>
      </c>
      <c r="F4" s="42" t="str">
        <f t="shared" si="0"/>
        <v>VRV mini  單相/220V  14kW</v>
      </c>
      <c r="G4" s="43" t="s">
        <v>24</v>
      </c>
      <c r="H4" s="44">
        <v>125</v>
      </c>
      <c r="L4" s="40" t="s">
        <v>198</v>
      </c>
      <c r="O4" s="1">
        <v>125</v>
      </c>
    </row>
    <row r="5" spans="1:15">
      <c r="A5" s="3" t="s">
        <v>340</v>
      </c>
      <c r="B5" s="5" t="s">
        <v>346</v>
      </c>
      <c r="C5" s="40" t="s">
        <v>347</v>
      </c>
      <c r="D5" s="40" t="s">
        <v>348</v>
      </c>
      <c r="E5" s="41">
        <v>186000</v>
      </c>
      <c r="F5" s="42" t="str">
        <f t="shared" si="0"/>
        <v>VRV IVS  三相/220V  22.4kW</v>
      </c>
      <c r="G5" s="43" t="s">
        <v>25</v>
      </c>
      <c r="H5" s="44">
        <v>200</v>
      </c>
      <c r="L5" s="40" t="s">
        <v>199</v>
      </c>
      <c r="O5" s="1">
        <v>200</v>
      </c>
    </row>
    <row r="6" spans="1:15">
      <c r="A6" s="3" t="s">
        <v>340</v>
      </c>
      <c r="B6" s="5" t="s">
        <v>346</v>
      </c>
      <c r="C6" s="11" t="s">
        <v>349</v>
      </c>
      <c r="D6" s="11" t="s">
        <v>348</v>
      </c>
      <c r="E6" s="42">
        <v>215000</v>
      </c>
      <c r="F6" s="42" t="str">
        <f t="shared" si="0"/>
        <v>VRV IVS  三相/220V  25kW</v>
      </c>
      <c r="G6" s="48" t="s">
        <v>26</v>
      </c>
      <c r="H6" s="44">
        <v>223</v>
      </c>
      <c r="L6" s="40" t="s">
        <v>199</v>
      </c>
      <c r="O6" s="1">
        <v>223</v>
      </c>
    </row>
    <row r="7" spans="1:15">
      <c r="A7" s="3" t="s">
        <v>340</v>
      </c>
      <c r="B7" s="6" t="s">
        <v>350</v>
      </c>
      <c r="C7" s="11" t="s">
        <v>351</v>
      </c>
      <c r="D7" s="11" t="s">
        <v>343</v>
      </c>
      <c r="E7" s="42">
        <v>170000</v>
      </c>
      <c r="F7" s="42" t="str">
        <f t="shared" si="0"/>
        <v>VRV IIIS  單相/220V  15.5kW</v>
      </c>
      <c r="G7" s="48" t="s">
        <v>27</v>
      </c>
      <c r="H7" s="44">
        <v>140</v>
      </c>
      <c r="L7" s="40" t="s">
        <v>199</v>
      </c>
      <c r="O7" s="1">
        <v>140</v>
      </c>
    </row>
    <row r="8" spans="1:15">
      <c r="A8" s="3" t="s">
        <v>340</v>
      </c>
      <c r="B8" s="6" t="s">
        <v>350</v>
      </c>
      <c r="C8" s="11" t="s">
        <v>352</v>
      </c>
      <c r="D8" s="11" t="s">
        <v>353</v>
      </c>
      <c r="E8" s="42">
        <v>193000</v>
      </c>
      <c r="F8" s="42" t="str">
        <f t="shared" si="0"/>
        <v>VRV IIIS  三相/380V  20kW</v>
      </c>
      <c r="G8" s="48" t="s">
        <v>28</v>
      </c>
      <c r="H8" s="44">
        <v>180</v>
      </c>
      <c r="L8" s="40" t="s">
        <v>199</v>
      </c>
      <c r="O8" s="1">
        <v>180</v>
      </c>
    </row>
    <row r="9" spans="1:15">
      <c r="A9" s="3" t="s">
        <v>340</v>
      </c>
      <c r="B9" s="6" t="s">
        <v>350</v>
      </c>
      <c r="C9" s="11" t="s">
        <v>354</v>
      </c>
      <c r="D9" s="11" t="s">
        <v>353</v>
      </c>
      <c r="E9" s="42">
        <v>220000</v>
      </c>
      <c r="F9" s="42" t="str">
        <f t="shared" si="0"/>
        <v>VRV IIIS  三相/380V  24kW</v>
      </c>
      <c r="G9" s="48" t="s">
        <v>29</v>
      </c>
      <c r="H9" s="44">
        <v>215</v>
      </c>
      <c r="L9" s="40" t="s">
        <v>199</v>
      </c>
      <c r="O9" s="1">
        <v>215</v>
      </c>
    </row>
    <row r="10" spans="1:15">
      <c r="A10" s="7" t="s">
        <v>355</v>
      </c>
      <c r="B10" s="8" t="s">
        <v>356</v>
      </c>
      <c r="C10" s="11" t="s">
        <v>357</v>
      </c>
      <c r="D10" s="11" t="s">
        <v>353</v>
      </c>
      <c r="E10" s="42">
        <v>1126700</v>
      </c>
      <c r="F10" s="42" t="str">
        <f t="shared" si="0"/>
        <v>VRV R 室外機  三相/380V  80kW</v>
      </c>
      <c r="G10" s="48" t="s">
        <v>162</v>
      </c>
      <c r="H10" s="11" t="s">
        <v>287</v>
      </c>
      <c r="I10" s="11" t="s">
        <v>357</v>
      </c>
      <c r="J10" s="11" t="s">
        <v>357</v>
      </c>
      <c r="L10" s="40" t="s">
        <v>202</v>
      </c>
    </row>
    <row r="11" spans="1:15">
      <c r="A11" s="7" t="s">
        <v>355</v>
      </c>
      <c r="B11" s="8" t="s">
        <v>356</v>
      </c>
      <c r="C11" s="11" t="s">
        <v>358</v>
      </c>
      <c r="D11" s="11" t="s">
        <v>353</v>
      </c>
      <c r="E11" s="42">
        <v>1280300</v>
      </c>
      <c r="F11" s="42" t="str">
        <f t="shared" si="0"/>
        <v>VRV R 室外機  三相/380V  90kW</v>
      </c>
      <c r="G11" s="48" t="s">
        <v>286</v>
      </c>
      <c r="H11" s="11" t="s">
        <v>287</v>
      </c>
      <c r="I11" s="11" t="s">
        <v>358</v>
      </c>
      <c r="J11" s="11" t="s">
        <v>358</v>
      </c>
      <c r="L11" s="40" t="s">
        <v>202</v>
      </c>
    </row>
    <row r="12" spans="1:15">
      <c r="A12" s="7" t="s">
        <v>355</v>
      </c>
      <c r="B12" s="8" t="s">
        <v>356</v>
      </c>
      <c r="C12" s="11" t="s">
        <v>359</v>
      </c>
      <c r="D12" s="11" t="s">
        <v>353</v>
      </c>
      <c r="E12" s="42">
        <v>1455300</v>
      </c>
      <c r="F12" s="42" t="str">
        <f t="shared" si="0"/>
        <v>VRV R 室外機  三相/380V  100kW</v>
      </c>
      <c r="G12" s="48" t="s">
        <v>139</v>
      </c>
      <c r="H12" s="11" t="s">
        <v>287</v>
      </c>
      <c r="I12" s="11" t="s">
        <v>359</v>
      </c>
      <c r="J12" s="11" t="s">
        <v>359</v>
      </c>
      <c r="L12" s="40" t="s">
        <v>202</v>
      </c>
    </row>
    <row r="13" spans="1:15">
      <c r="A13" s="7" t="s">
        <v>355</v>
      </c>
      <c r="B13" s="8" t="s">
        <v>356</v>
      </c>
      <c r="C13" s="11" t="s">
        <v>360</v>
      </c>
      <c r="D13" s="11" t="s">
        <v>353</v>
      </c>
      <c r="E13" s="42">
        <v>1529000</v>
      </c>
      <c r="F13" s="42" t="str">
        <f t="shared" si="0"/>
        <v>VRV R 室外機  三相/380V  112kW</v>
      </c>
      <c r="G13" s="48" t="s">
        <v>166</v>
      </c>
      <c r="H13" s="11" t="s">
        <v>287</v>
      </c>
      <c r="I13" s="11" t="s">
        <v>360</v>
      </c>
      <c r="J13" s="11" t="s">
        <v>360</v>
      </c>
      <c r="L13" s="40" t="s">
        <v>202</v>
      </c>
    </row>
    <row r="14" spans="1:15">
      <c r="A14" s="7" t="s">
        <v>355</v>
      </c>
      <c r="B14" s="9" t="s">
        <v>296</v>
      </c>
      <c r="C14" s="11" t="s">
        <v>288</v>
      </c>
      <c r="D14" s="11" t="s">
        <v>353</v>
      </c>
      <c r="E14" s="42">
        <v>231600</v>
      </c>
      <c r="F14" s="42" t="str">
        <f t="shared" si="0"/>
        <v>VRV A(冷專型)標準型  三相/380V  22.4kW</v>
      </c>
      <c r="G14" s="48" t="s">
        <v>320</v>
      </c>
      <c r="L14" s="40" t="s">
        <v>200</v>
      </c>
    </row>
    <row r="15" spans="1:15">
      <c r="A15" s="7" t="s">
        <v>355</v>
      </c>
      <c r="B15" s="9" t="s">
        <v>296</v>
      </c>
      <c r="C15" s="11" t="s">
        <v>233</v>
      </c>
      <c r="D15" s="11" t="s">
        <v>353</v>
      </c>
      <c r="E15" s="42">
        <v>285000</v>
      </c>
      <c r="F15" s="42" t="str">
        <f t="shared" si="0"/>
        <v>VRV A(冷專型)標準型  三相/380V  28kW</v>
      </c>
      <c r="G15" s="48" t="s">
        <v>245</v>
      </c>
      <c r="L15" s="40" t="s">
        <v>200</v>
      </c>
    </row>
    <row r="16" spans="1:15">
      <c r="A16" s="7" t="s">
        <v>355</v>
      </c>
      <c r="B16" s="9" t="s">
        <v>296</v>
      </c>
      <c r="C16" s="11" t="s">
        <v>21</v>
      </c>
      <c r="D16" s="11" t="s">
        <v>353</v>
      </c>
      <c r="E16" s="42">
        <v>335000</v>
      </c>
      <c r="F16" s="42" t="str">
        <f t="shared" si="0"/>
        <v>VRV A(冷專型)標準型  三相/380V  33.5kW</v>
      </c>
      <c r="G16" s="48" t="s">
        <v>247</v>
      </c>
      <c r="L16" s="40" t="s">
        <v>200</v>
      </c>
    </row>
    <row r="17" spans="1:12">
      <c r="A17" s="7" t="s">
        <v>355</v>
      </c>
      <c r="B17" s="9" t="s">
        <v>296</v>
      </c>
      <c r="C17" s="11" t="s">
        <v>289</v>
      </c>
      <c r="D17" s="11" t="s">
        <v>353</v>
      </c>
      <c r="E17" s="42">
        <v>386000</v>
      </c>
      <c r="F17" s="42" t="str">
        <f t="shared" si="0"/>
        <v>VRV A(冷專型)標準型  三相/380V  40kW</v>
      </c>
      <c r="G17" s="48" t="s">
        <v>321</v>
      </c>
      <c r="L17" s="40" t="s">
        <v>201</v>
      </c>
    </row>
    <row r="18" spans="1:12">
      <c r="A18" s="7" t="s">
        <v>355</v>
      </c>
      <c r="B18" s="9" t="s">
        <v>296</v>
      </c>
      <c r="C18" s="11" t="s">
        <v>19</v>
      </c>
      <c r="D18" s="11" t="s">
        <v>353</v>
      </c>
      <c r="E18" s="42">
        <v>439000</v>
      </c>
      <c r="F18" s="42" t="str">
        <f t="shared" si="0"/>
        <v>VRV A(冷專型)標準型  三相/380V  45kW</v>
      </c>
      <c r="G18" s="48" t="s">
        <v>248</v>
      </c>
      <c r="L18" s="40" t="s">
        <v>201</v>
      </c>
    </row>
    <row r="19" spans="1:12">
      <c r="A19" s="7" t="s">
        <v>355</v>
      </c>
      <c r="B19" s="9" t="s">
        <v>296</v>
      </c>
      <c r="C19" s="11" t="s">
        <v>234</v>
      </c>
      <c r="D19" s="11" t="s">
        <v>353</v>
      </c>
      <c r="E19" s="42">
        <v>492000</v>
      </c>
      <c r="F19" s="42" t="str">
        <f t="shared" si="0"/>
        <v>VRV A(冷專型)標準型  三相/380V  50kW</v>
      </c>
      <c r="G19" s="48" t="s">
        <v>131</v>
      </c>
      <c r="L19" s="40" t="s">
        <v>201</v>
      </c>
    </row>
    <row r="20" spans="1:12">
      <c r="A20" s="7" t="s">
        <v>355</v>
      </c>
      <c r="B20" s="9" t="s">
        <v>296</v>
      </c>
      <c r="C20" s="11" t="s">
        <v>96</v>
      </c>
      <c r="D20" s="11" t="s">
        <v>353</v>
      </c>
      <c r="E20" s="42">
        <v>541800</v>
      </c>
      <c r="F20" s="42" t="str">
        <f t="shared" si="0"/>
        <v>VRV A(冷專型)標準型  三相/380V  54kW</v>
      </c>
      <c r="G20" s="48" t="s">
        <v>44</v>
      </c>
      <c r="L20" s="40" t="s">
        <v>201</v>
      </c>
    </row>
    <row r="21" spans="1:12">
      <c r="A21" s="7" t="s">
        <v>355</v>
      </c>
      <c r="B21" s="9" t="s">
        <v>296</v>
      </c>
      <c r="C21" s="11" t="s">
        <v>235</v>
      </c>
      <c r="D21" s="11" t="s">
        <v>353</v>
      </c>
      <c r="E21" s="42">
        <f>E15+E16</f>
        <v>620000</v>
      </c>
      <c r="F21" s="42" t="str">
        <f t="shared" si="0"/>
        <v>VRV A(冷專型)標準型  三相/380V  61.5kW</v>
      </c>
      <c r="G21" s="48" t="s">
        <v>136</v>
      </c>
      <c r="H21" s="11" t="s">
        <v>439</v>
      </c>
      <c r="I21" s="46" t="s">
        <v>233</v>
      </c>
      <c r="J21" s="44" t="s">
        <v>18</v>
      </c>
      <c r="L21" s="40" t="s">
        <v>203</v>
      </c>
    </row>
    <row r="22" spans="1:12">
      <c r="A22" s="7" t="s">
        <v>355</v>
      </c>
      <c r="B22" s="9" t="s">
        <v>296</v>
      </c>
      <c r="C22" s="11" t="s">
        <v>113</v>
      </c>
      <c r="D22" s="11" t="s">
        <v>353</v>
      </c>
      <c r="E22" s="42">
        <f>E16+E16</f>
        <v>670000</v>
      </c>
      <c r="F22" s="42" t="str">
        <f t="shared" si="0"/>
        <v>VRV A(冷專型)標準型  三相/380V  67kW</v>
      </c>
      <c r="G22" s="48" t="s">
        <v>47</v>
      </c>
      <c r="H22" s="11" t="s">
        <v>439</v>
      </c>
      <c r="I22" s="46" t="s">
        <v>18</v>
      </c>
      <c r="J22" s="44" t="s">
        <v>18</v>
      </c>
      <c r="L22" s="40" t="s">
        <v>203</v>
      </c>
    </row>
    <row r="23" spans="1:12">
      <c r="A23" s="7" t="s">
        <v>355</v>
      </c>
      <c r="B23" s="9" t="s">
        <v>296</v>
      </c>
      <c r="C23" s="11" t="s">
        <v>290</v>
      </c>
      <c r="D23" s="11" t="s">
        <v>353</v>
      </c>
      <c r="E23" s="42">
        <f>E16+E17</f>
        <v>721000</v>
      </c>
      <c r="F23" s="42" t="str">
        <f t="shared" si="0"/>
        <v>VRV A(冷專型)標準型  三相/380V  73.5kW</v>
      </c>
      <c r="G23" s="48" t="s">
        <v>138</v>
      </c>
      <c r="H23" s="11" t="s">
        <v>439</v>
      </c>
      <c r="I23" s="46" t="s">
        <v>21</v>
      </c>
      <c r="J23" s="44" t="s">
        <v>289</v>
      </c>
      <c r="L23" s="40" t="s">
        <v>204</v>
      </c>
    </row>
    <row r="24" spans="1:12">
      <c r="A24" s="7" t="s">
        <v>355</v>
      </c>
      <c r="B24" s="9" t="s">
        <v>296</v>
      </c>
      <c r="C24" s="11" t="s">
        <v>114</v>
      </c>
      <c r="D24" s="11" t="s">
        <v>353</v>
      </c>
      <c r="E24" s="42">
        <f>E16+E18</f>
        <v>774000</v>
      </c>
      <c r="F24" s="42" t="str">
        <f t="shared" si="0"/>
        <v>VRV A(冷專型)標準型  三相/380V  78.5kW</v>
      </c>
      <c r="G24" s="48" t="s">
        <v>249</v>
      </c>
      <c r="H24" s="11" t="s">
        <v>439</v>
      </c>
      <c r="I24" s="46" t="s">
        <v>18</v>
      </c>
      <c r="J24" s="44" t="s">
        <v>19</v>
      </c>
      <c r="K24" s="40"/>
      <c r="L24" s="40" t="s">
        <v>204</v>
      </c>
    </row>
    <row r="25" spans="1:12">
      <c r="A25" s="7" t="s">
        <v>355</v>
      </c>
      <c r="B25" s="9" t="s">
        <v>296</v>
      </c>
      <c r="C25" s="11" t="s">
        <v>291</v>
      </c>
      <c r="D25" s="11" t="s">
        <v>353</v>
      </c>
      <c r="E25" s="42">
        <f>E17+E18</f>
        <v>825000</v>
      </c>
      <c r="F25" s="42" t="str">
        <f t="shared" si="0"/>
        <v>VRV A(冷專型)標準型  三相/380V  85kW</v>
      </c>
      <c r="G25" s="48" t="s">
        <v>322</v>
      </c>
      <c r="H25" s="11" t="s">
        <v>439</v>
      </c>
      <c r="I25" s="44" t="s">
        <v>289</v>
      </c>
      <c r="J25" s="44" t="s">
        <v>19</v>
      </c>
      <c r="L25" s="40" t="s">
        <v>202</v>
      </c>
    </row>
    <row r="26" spans="1:12">
      <c r="A26" s="7" t="s">
        <v>355</v>
      </c>
      <c r="B26" s="9" t="s">
        <v>296</v>
      </c>
      <c r="C26" s="11" t="s">
        <v>292</v>
      </c>
      <c r="D26" s="11" t="s">
        <v>353</v>
      </c>
      <c r="E26" s="42">
        <f>E17+E19</f>
        <v>878000</v>
      </c>
      <c r="F26" s="42" t="str">
        <f t="shared" si="0"/>
        <v>VRV A(冷專型)標準型  三相/380V  90kW</v>
      </c>
      <c r="G26" s="48" t="s">
        <v>286</v>
      </c>
      <c r="H26" s="11" t="s">
        <v>439</v>
      </c>
      <c r="I26" s="44" t="s">
        <v>289</v>
      </c>
      <c r="J26" s="44" t="s">
        <v>234</v>
      </c>
      <c r="L26" s="40" t="s">
        <v>202</v>
      </c>
    </row>
    <row r="27" spans="1:12">
      <c r="A27" s="7" t="s">
        <v>355</v>
      </c>
      <c r="B27" s="9" t="s">
        <v>296</v>
      </c>
      <c r="C27" s="11" t="s">
        <v>236</v>
      </c>
      <c r="D27" s="11" t="s">
        <v>353</v>
      </c>
      <c r="E27" s="42">
        <f>E18+E19</f>
        <v>931000</v>
      </c>
      <c r="F27" s="42" t="str">
        <f t="shared" si="0"/>
        <v>VRV A(冷專型)標準型  三相/380V  95W</v>
      </c>
      <c r="G27" s="48" t="s">
        <v>237</v>
      </c>
      <c r="H27" s="11" t="s">
        <v>439</v>
      </c>
      <c r="I27" s="44" t="s">
        <v>19</v>
      </c>
      <c r="J27" s="44" t="s">
        <v>234</v>
      </c>
      <c r="L27" s="40" t="s">
        <v>202</v>
      </c>
    </row>
    <row r="28" spans="1:12">
      <c r="A28" s="7" t="s">
        <v>355</v>
      </c>
      <c r="B28" s="9" t="s">
        <v>296</v>
      </c>
      <c r="C28" s="11" t="s">
        <v>250</v>
      </c>
      <c r="D28" s="11" t="s">
        <v>353</v>
      </c>
      <c r="E28" s="42">
        <f>E19+E19</f>
        <v>984000</v>
      </c>
      <c r="F28" s="42" t="str">
        <f t="shared" si="0"/>
        <v>VRV A(冷專型)標準型  三相/380V  100kW</v>
      </c>
      <c r="G28" s="48" t="s">
        <v>139</v>
      </c>
      <c r="H28" s="11" t="s">
        <v>439</v>
      </c>
      <c r="I28" s="46" t="s">
        <v>234</v>
      </c>
      <c r="J28" s="46" t="s">
        <v>234</v>
      </c>
      <c r="K28" s="49"/>
      <c r="L28" s="40" t="s">
        <v>202</v>
      </c>
    </row>
    <row r="29" spans="1:12">
      <c r="A29" s="7" t="s">
        <v>355</v>
      </c>
      <c r="B29" s="9" t="s">
        <v>296</v>
      </c>
      <c r="C29" s="11" t="s">
        <v>361</v>
      </c>
      <c r="D29" s="11" t="s">
        <v>353</v>
      </c>
      <c r="E29" s="42">
        <f>E19+E20</f>
        <v>1033800</v>
      </c>
      <c r="F29" s="42" t="str">
        <f t="shared" si="0"/>
        <v>VRV A(冷專型)標準型  三相/380V  104kW</v>
      </c>
      <c r="G29" s="48" t="s">
        <v>140</v>
      </c>
      <c r="H29" s="11" t="s">
        <v>439</v>
      </c>
      <c r="I29" s="46" t="s">
        <v>234</v>
      </c>
      <c r="J29" s="46" t="s">
        <v>96</v>
      </c>
      <c r="K29" s="49"/>
      <c r="L29" s="40" t="s">
        <v>202</v>
      </c>
    </row>
    <row r="30" spans="1:12">
      <c r="A30" s="7" t="s">
        <v>355</v>
      </c>
      <c r="B30" s="9" t="s">
        <v>296</v>
      </c>
      <c r="C30" s="11" t="s">
        <v>238</v>
      </c>
      <c r="D30" s="11" t="s">
        <v>353</v>
      </c>
      <c r="E30" s="42">
        <f>E20+E20</f>
        <v>1083600</v>
      </c>
      <c r="F30" s="42" t="str">
        <f t="shared" si="0"/>
        <v>VRV A(冷專型)標準型  三相/380V  108kW</v>
      </c>
      <c r="G30" s="48" t="s">
        <v>141</v>
      </c>
      <c r="H30" s="11" t="s">
        <v>439</v>
      </c>
      <c r="I30" s="46" t="s">
        <v>96</v>
      </c>
      <c r="J30" s="46" t="s">
        <v>96</v>
      </c>
      <c r="K30" s="49"/>
      <c r="L30" s="40" t="s">
        <v>202</v>
      </c>
    </row>
    <row r="31" spans="1:12">
      <c r="A31" s="7" t="s">
        <v>355</v>
      </c>
      <c r="B31" s="9" t="s">
        <v>296</v>
      </c>
      <c r="C31" s="11" t="s">
        <v>246</v>
      </c>
      <c r="D31" s="11" t="s">
        <v>353</v>
      </c>
      <c r="E31" s="42">
        <f>E16+E16+E19</f>
        <v>1162000</v>
      </c>
      <c r="F31" s="42" t="str">
        <f t="shared" si="0"/>
        <v>VRV A(冷專型)標準型  三相/380V  117kW</v>
      </c>
      <c r="G31" s="48" t="s">
        <v>142</v>
      </c>
      <c r="H31" s="11" t="s">
        <v>440</v>
      </c>
      <c r="I31" s="46" t="s">
        <v>18</v>
      </c>
      <c r="J31" s="44" t="s">
        <v>18</v>
      </c>
      <c r="K31" s="49" t="s">
        <v>234</v>
      </c>
      <c r="L31" s="40" t="s">
        <v>206</v>
      </c>
    </row>
    <row r="32" spans="1:12">
      <c r="A32" s="7" t="s">
        <v>355</v>
      </c>
      <c r="B32" s="9" t="s">
        <v>296</v>
      </c>
      <c r="C32" s="11" t="s">
        <v>115</v>
      </c>
      <c r="D32" s="11" t="s">
        <v>353</v>
      </c>
      <c r="E32" s="42">
        <f>E16+E16+E20</f>
        <v>1211800</v>
      </c>
      <c r="F32" s="42" t="str">
        <f t="shared" si="0"/>
        <v>VRV A(冷專型)標準型  三相/380V  121kW</v>
      </c>
      <c r="G32" s="48" t="s">
        <v>143</v>
      </c>
      <c r="H32" s="11" t="s">
        <v>440</v>
      </c>
      <c r="I32" s="46" t="s">
        <v>18</v>
      </c>
      <c r="J32" s="44" t="s">
        <v>18</v>
      </c>
      <c r="K32" s="49" t="s">
        <v>20</v>
      </c>
      <c r="L32" s="40" t="s">
        <v>206</v>
      </c>
    </row>
    <row r="33" spans="1:12">
      <c r="A33" s="7" t="s">
        <v>355</v>
      </c>
      <c r="B33" s="9" t="s">
        <v>296</v>
      </c>
      <c r="C33" s="10" t="s">
        <v>293</v>
      </c>
      <c r="D33" s="11" t="s">
        <v>353</v>
      </c>
      <c r="E33" s="42">
        <f>E17+E17+E19</f>
        <v>1264000</v>
      </c>
      <c r="F33" s="42" t="str">
        <f t="shared" si="0"/>
        <v>VRV A(冷專型)標準型  三相/380V  130kW</v>
      </c>
      <c r="G33" s="48" t="s">
        <v>323</v>
      </c>
      <c r="H33" s="11" t="s">
        <v>440</v>
      </c>
      <c r="I33" s="44" t="s">
        <v>289</v>
      </c>
      <c r="J33" s="44" t="s">
        <v>289</v>
      </c>
      <c r="K33" s="34" t="s">
        <v>234</v>
      </c>
      <c r="L33" s="40" t="s">
        <v>208</v>
      </c>
    </row>
    <row r="34" spans="1:12">
      <c r="A34" s="7" t="s">
        <v>355</v>
      </c>
      <c r="B34" s="9" t="s">
        <v>296</v>
      </c>
      <c r="C34" s="11" t="s">
        <v>294</v>
      </c>
      <c r="D34" s="11" t="s">
        <v>353</v>
      </c>
      <c r="E34" s="42">
        <f>E17+E18+E19</f>
        <v>1317000</v>
      </c>
      <c r="F34" s="42" t="str">
        <f t="shared" si="0"/>
        <v>VRV A(冷專型)標準型  三相/380V  135kW</v>
      </c>
      <c r="G34" s="48" t="s">
        <v>239</v>
      </c>
      <c r="H34" s="11" t="s">
        <v>440</v>
      </c>
      <c r="I34" s="44" t="s">
        <v>289</v>
      </c>
      <c r="J34" s="44" t="s">
        <v>19</v>
      </c>
      <c r="K34" s="34" t="s">
        <v>234</v>
      </c>
      <c r="L34" s="40" t="s">
        <v>208</v>
      </c>
    </row>
    <row r="35" spans="1:12">
      <c r="A35" s="7" t="s">
        <v>355</v>
      </c>
      <c r="B35" s="9" t="s">
        <v>296</v>
      </c>
      <c r="C35" s="10" t="s">
        <v>295</v>
      </c>
      <c r="D35" s="11" t="s">
        <v>353</v>
      </c>
      <c r="E35" s="42">
        <f>E17+E19+E19</f>
        <v>1370000</v>
      </c>
      <c r="F35" s="42" t="str">
        <f t="shared" si="0"/>
        <v>VRV A(冷專型)標準型  三相/380V  140kW</v>
      </c>
      <c r="G35" s="48" t="s">
        <v>154</v>
      </c>
      <c r="H35" s="11" t="s">
        <v>440</v>
      </c>
      <c r="I35" s="44" t="s">
        <v>289</v>
      </c>
      <c r="J35" s="44" t="s">
        <v>234</v>
      </c>
      <c r="K35" s="34" t="s">
        <v>234</v>
      </c>
      <c r="L35" s="40" t="s">
        <v>208</v>
      </c>
    </row>
    <row r="36" spans="1:12">
      <c r="A36" s="7" t="s">
        <v>355</v>
      </c>
      <c r="B36" s="9" t="s">
        <v>296</v>
      </c>
      <c r="C36" s="10" t="s">
        <v>240</v>
      </c>
      <c r="D36" s="11" t="s">
        <v>353</v>
      </c>
      <c r="E36" s="42">
        <f>E18+E19+E19</f>
        <v>1423000</v>
      </c>
      <c r="F36" s="42" t="str">
        <f t="shared" si="0"/>
        <v>VRV A(冷專型)標準型  三相/380V  145kW</v>
      </c>
      <c r="G36" s="48" t="s">
        <v>155</v>
      </c>
      <c r="H36" s="11" t="s">
        <v>440</v>
      </c>
      <c r="I36" s="44" t="s">
        <v>19</v>
      </c>
      <c r="J36" s="44" t="s">
        <v>234</v>
      </c>
      <c r="K36" s="34" t="s">
        <v>234</v>
      </c>
      <c r="L36" s="40" t="s">
        <v>208</v>
      </c>
    </row>
    <row r="37" spans="1:12">
      <c r="A37" s="7" t="s">
        <v>355</v>
      </c>
      <c r="B37" s="9" t="s">
        <v>296</v>
      </c>
      <c r="C37" s="10" t="s">
        <v>241</v>
      </c>
      <c r="D37" s="11" t="s">
        <v>353</v>
      </c>
      <c r="E37" s="42">
        <f>E19+E19+E19</f>
        <v>1476000</v>
      </c>
      <c r="F37" s="42" t="str">
        <f t="shared" si="0"/>
        <v>VRV A(冷專型)標準型  三相/380V  150kW</v>
      </c>
      <c r="G37" s="48" t="s">
        <v>156</v>
      </c>
      <c r="H37" s="11" t="s">
        <v>440</v>
      </c>
      <c r="I37" s="44" t="s">
        <v>234</v>
      </c>
      <c r="J37" s="44" t="s">
        <v>234</v>
      </c>
      <c r="K37" s="34" t="s">
        <v>234</v>
      </c>
      <c r="L37" s="40" t="s">
        <v>208</v>
      </c>
    </row>
    <row r="38" spans="1:12">
      <c r="A38" s="7" t="s">
        <v>355</v>
      </c>
      <c r="B38" s="9" t="s">
        <v>296</v>
      </c>
      <c r="C38" s="11" t="s">
        <v>242</v>
      </c>
      <c r="D38" s="11" t="s">
        <v>353</v>
      </c>
      <c r="E38" s="42">
        <f>E19+E19+E20</f>
        <v>1525800</v>
      </c>
      <c r="F38" s="42" t="str">
        <f t="shared" si="0"/>
        <v>VRV A(冷專型)標準型  三相/380V  154kW</v>
      </c>
      <c r="G38" s="48" t="s">
        <v>157</v>
      </c>
      <c r="H38" s="11" t="s">
        <v>440</v>
      </c>
      <c r="I38" s="44" t="s">
        <v>234</v>
      </c>
      <c r="J38" s="44" t="s">
        <v>234</v>
      </c>
      <c r="K38" s="49" t="s">
        <v>20</v>
      </c>
      <c r="L38" s="40" t="s">
        <v>208</v>
      </c>
    </row>
    <row r="39" spans="1:12">
      <c r="A39" s="7" t="s">
        <v>355</v>
      </c>
      <c r="B39" s="9" t="s">
        <v>296</v>
      </c>
      <c r="C39" s="11" t="s">
        <v>243</v>
      </c>
      <c r="D39" s="11" t="s">
        <v>353</v>
      </c>
      <c r="E39" s="42">
        <f>E19+E20+E20</f>
        <v>1575600</v>
      </c>
      <c r="F39" s="42" t="str">
        <f t="shared" si="0"/>
        <v>VRV A(冷專型)標準型  三相/380V  158kW</v>
      </c>
      <c r="G39" s="48" t="s">
        <v>244</v>
      </c>
      <c r="H39" s="11" t="s">
        <v>440</v>
      </c>
      <c r="I39" s="44" t="s">
        <v>234</v>
      </c>
      <c r="J39" s="46" t="s">
        <v>20</v>
      </c>
      <c r="K39" s="49" t="s">
        <v>20</v>
      </c>
      <c r="L39" s="40" t="s">
        <v>208</v>
      </c>
    </row>
    <row r="40" spans="1:12">
      <c r="A40" s="7" t="s">
        <v>355</v>
      </c>
      <c r="B40" s="9" t="s">
        <v>296</v>
      </c>
      <c r="C40" s="11" t="s">
        <v>116</v>
      </c>
      <c r="D40" s="11" t="s">
        <v>353</v>
      </c>
      <c r="E40" s="42">
        <f>E20+E20+E20</f>
        <v>1625400</v>
      </c>
      <c r="F40" s="42" t="str">
        <f t="shared" si="0"/>
        <v>VRV A(冷專型)標準型  三相/380V  162kW</v>
      </c>
      <c r="G40" s="48" t="s">
        <v>46</v>
      </c>
      <c r="H40" s="11" t="s">
        <v>440</v>
      </c>
      <c r="I40" s="46" t="s">
        <v>96</v>
      </c>
      <c r="J40" s="46" t="s">
        <v>20</v>
      </c>
      <c r="K40" s="49" t="s">
        <v>20</v>
      </c>
      <c r="L40" s="40" t="s">
        <v>208</v>
      </c>
    </row>
    <row r="41" spans="1:12">
      <c r="A41" s="7" t="s">
        <v>355</v>
      </c>
      <c r="B41" s="9" t="s">
        <v>297</v>
      </c>
      <c r="C41" s="11" t="s">
        <v>298</v>
      </c>
      <c r="D41" s="11" t="s">
        <v>353</v>
      </c>
      <c r="E41" s="42">
        <f>E14+E14</f>
        <v>463200</v>
      </c>
      <c r="F41" s="42" t="str">
        <f t="shared" si="0"/>
        <v>VRV A(冷專型)高效型  三相/380V  44.8kW</v>
      </c>
      <c r="G41" s="48" t="s">
        <v>324</v>
      </c>
      <c r="H41" s="11" t="s">
        <v>439</v>
      </c>
      <c r="I41" s="44" t="s">
        <v>288</v>
      </c>
      <c r="J41" s="44" t="s">
        <v>288</v>
      </c>
      <c r="L41" s="40" t="s">
        <v>203</v>
      </c>
    </row>
    <row r="42" spans="1:12">
      <c r="A42" s="7" t="s">
        <v>355</v>
      </c>
      <c r="B42" s="9" t="s">
        <v>297</v>
      </c>
      <c r="C42" s="11" t="s">
        <v>299</v>
      </c>
      <c r="D42" s="11" t="s">
        <v>353</v>
      </c>
      <c r="E42" s="42">
        <f>E14+E15</f>
        <v>516600</v>
      </c>
      <c r="F42" s="42" t="str">
        <f t="shared" si="0"/>
        <v>VRV A(冷專型)高效型  三相/380V  50.4kW</v>
      </c>
      <c r="G42" s="48" t="s">
        <v>325</v>
      </c>
      <c r="H42" s="11" t="s">
        <v>439</v>
      </c>
      <c r="I42" s="44" t="s">
        <v>288</v>
      </c>
      <c r="J42" s="46" t="s">
        <v>233</v>
      </c>
      <c r="L42" s="40" t="s">
        <v>203</v>
      </c>
    </row>
    <row r="43" spans="1:12">
      <c r="A43" s="7" t="s">
        <v>355</v>
      </c>
      <c r="B43" s="9" t="s">
        <v>297</v>
      </c>
      <c r="C43" s="11" t="s">
        <v>300</v>
      </c>
      <c r="D43" s="11" t="s">
        <v>353</v>
      </c>
      <c r="E43" s="42">
        <f>E15+E15</f>
        <v>570000</v>
      </c>
      <c r="F43" s="42" t="str">
        <f t="shared" si="0"/>
        <v>VRV A(冷專型)高效型  三相/380V  56kW</v>
      </c>
      <c r="G43" s="48" t="s">
        <v>158</v>
      </c>
      <c r="H43" s="11" t="s">
        <v>439</v>
      </c>
      <c r="I43" s="46" t="s">
        <v>233</v>
      </c>
      <c r="J43" s="46" t="s">
        <v>233</v>
      </c>
      <c r="L43" s="40" t="s">
        <v>203</v>
      </c>
    </row>
    <row r="44" spans="1:12">
      <c r="A44" s="7" t="s">
        <v>355</v>
      </c>
      <c r="B44" s="9" t="s">
        <v>297</v>
      </c>
      <c r="C44" s="11" t="s">
        <v>301</v>
      </c>
      <c r="D44" s="11" t="s">
        <v>353</v>
      </c>
      <c r="E44" s="42">
        <f>E14+E14+E14</f>
        <v>694800</v>
      </c>
      <c r="F44" s="42" t="str">
        <f t="shared" si="0"/>
        <v>VRV A(冷專型)高效型  三相/380V  67.2W</v>
      </c>
      <c r="G44" s="48" t="s">
        <v>326</v>
      </c>
      <c r="H44" s="11" t="s">
        <v>440</v>
      </c>
      <c r="I44" s="44" t="s">
        <v>288</v>
      </c>
      <c r="J44" s="44" t="s">
        <v>288</v>
      </c>
      <c r="K44" s="44" t="s">
        <v>288</v>
      </c>
      <c r="L44" s="40" t="s">
        <v>205</v>
      </c>
    </row>
    <row r="45" spans="1:12">
      <c r="A45" s="7" t="s">
        <v>355</v>
      </c>
      <c r="B45" s="9" t="s">
        <v>297</v>
      </c>
      <c r="C45" s="11" t="s">
        <v>302</v>
      </c>
      <c r="D45" s="11" t="s">
        <v>353</v>
      </c>
      <c r="E45" s="42">
        <f>E14+E14+E15</f>
        <v>748200</v>
      </c>
      <c r="F45" s="42" t="str">
        <f t="shared" si="0"/>
        <v>VRV A(冷專型)高效型  三相/380V  72.8W</v>
      </c>
      <c r="G45" s="48" t="s">
        <v>327</v>
      </c>
      <c r="H45" s="11" t="s">
        <v>440</v>
      </c>
      <c r="I45" s="44" t="s">
        <v>288</v>
      </c>
      <c r="J45" s="44" t="s">
        <v>288</v>
      </c>
      <c r="K45" s="49" t="s">
        <v>233</v>
      </c>
      <c r="L45" s="40" t="s">
        <v>205</v>
      </c>
    </row>
    <row r="46" spans="1:12">
      <c r="A46" s="7" t="s">
        <v>355</v>
      </c>
      <c r="B46" s="9" t="s">
        <v>297</v>
      </c>
      <c r="C46" s="11" t="s">
        <v>303</v>
      </c>
      <c r="D46" s="11" t="s">
        <v>353</v>
      </c>
      <c r="E46" s="42">
        <f>E14+E14+E16</f>
        <v>798200</v>
      </c>
      <c r="F46" s="42" t="str">
        <f t="shared" si="0"/>
        <v>VRV A(冷專型)高效型  三相/380V  78.3W</v>
      </c>
      <c r="G46" s="48" t="s">
        <v>328</v>
      </c>
      <c r="H46" s="11" t="s">
        <v>440</v>
      </c>
      <c r="I46" s="44" t="s">
        <v>288</v>
      </c>
      <c r="J46" s="44" t="s">
        <v>288</v>
      </c>
      <c r="K46" s="34" t="s">
        <v>18</v>
      </c>
      <c r="L46" s="40" t="s">
        <v>205</v>
      </c>
    </row>
    <row r="47" spans="1:12">
      <c r="A47" s="7" t="s">
        <v>355</v>
      </c>
      <c r="B47" s="9" t="s">
        <v>297</v>
      </c>
      <c r="C47" s="11" t="s">
        <v>304</v>
      </c>
      <c r="D47" s="11" t="s">
        <v>353</v>
      </c>
      <c r="E47" s="42">
        <f>E14+E15+E16</f>
        <v>851600</v>
      </c>
      <c r="F47" s="42" t="str">
        <f t="shared" si="0"/>
        <v>VRV A(冷專型)高效型  三相/380V  83.9kW</v>
      </c>
      <c r="G47" s="48" t="s">
        <v>163</v>
      </c>
      <c r="H47" s="11" t="s">
        <v>440</v>
      </c>
      <c r="I47" s="44" t="s">
        <v>288</v>
      </c>
      <c r="J47" s="46" t="s">
        <v>233</v>
      </c>
      <c r="K47" s="34" t="s">
        <v>18</v>
      </c>
      <c r="L47" s="40" t="s">
        <v>205</v>
      </c>
    </row>
    <row r="48" spans="1:12">
      <c r="A48" s="7" t="s">
        <v>355</v>
      </c>
      <c r="B48" s="9" t="s">
        <v>297</v>
      </c>
      <c r="C48" s="11" t="s">
        <v>305</v>
      </c>
      <c r="D48" s="11" t="s">
        <v>353</v>
      </c>
      <c r="E48" s="42">
        <f>E14+E14+E18</f>
        <v>902200</v>
      </c>
      <c r="F48" s="42" t="str">
        <f t="shared" si="0"/>
        <v>VRV A(冷專型)高效型  三相/380V  89.8kW</v>
      </c>
      <c r="G48" s="48" t="s">
        <v>329</v>
      </c>
      <c r="H48" s="11" t="s">
        <v>440</v>
      </c>
      <c r="I48" s="44" t="s">
        <v>288</v>
      </c>
      <c r="J48" s="44" t="s">
        <v>288</v>
      </c>
      <c r="K48" s="34" t="s">
        <v>19</v>
      </c>
      <c r="L48" s="40" t="s">
        <v>206</v>
      </c>
    </row>
    <row r="49" spans="1:12">
      <c r="A49" s="7" t="s">
        <v>355</v>
      </c>
      <c r="B49" s="9" t="s">
        <v>297</v>
      </c>
      <c r="C49" s="11" t="s">
        <v>306</v>
      </c>
      <c r="D49" s="11" t="s">
        <v>353</v>
      </c>
      <c r="E49" s="42">
        <f>E14+E15+E18</f>
        <v>955600</v>
      </c>
      <c r="F49" s="42" t="str">
        <f t="shared" si="0"/>
        <v>VRV A(冷專型)高效型  三相/380V  95.4kW</v>
      </c>
      <c r="G49" s="48" t="s">
        <v>330</v>
      </c>
      <c r="H49" s="11" t="s">
        <v>440</v>
      </c>
      <c r="I49" s="44" t="s">
        <v>288</v>
      </c>
      <c r="J49" s="46" t="s">
        <v>233</v>
      </c>
      <c r="K49" s="34" t="s">
        <v>19</v>
      </c>
      <c r="L49" s="40" t="s">
        <v>206</v>
      </c>
    </row>
    <row r="50" spans="1:12">
      <c r="A50" s="7" t="s">
        <v>355</v>
      </c>
      <c r="B50" s="9" t="s">
        <v>297</v>
      </c>
      <c r="C50" s="11" t="s">
        <v>307</v>
      </c>
      <c r="D50" s="11" t="s">
        <v>353</v>
      </c>
      <c r="E50" s="42">
        <f>E15+E15+E18</f>
        <v>1009000</v>
      </c>
      <c r="F50" s="42" t="str">
        <f t="shared" si="0"/>
        <v>VRV A(冷專型)高效型  三相/380V  101kW</v>
      </c>
      <c r="G50" s="48" t="s">
        <v>331</v>
      </c>
      <c r="H50" s="11" t="s">
        <v>440</v>
      </c>
      <c r="I50" s="46" t="s">
        <v>233</v>
      </c>
      <c r="J50" s="46" t="s">
        <v>233</v>
      </c>
      <c r="K50" s="34" t="s">
        <v>19</v>
      </c>
      <c r="L50" s="40" t="s">
        <v>206</v>
      </c>
    </row>
    <row r="51" spans="1:12">
      <c r="A51" s="7" t="s">
        <v>355</v>
      </c>
      <c r="B51" s="9" t="s">
        <v>297</v>
      </c>
      <c r="C51" s="11" t="s">
        <v>308</v>
      </c>
      <c r="D51" s="11" t="s">
        <v>353</v>
      </c>
      <c r="E51" s="42">
        <f>E15+E16+E18</f>
        <v>1059000</v>
      </c>
      <c r="F51" s="42" t="str">
        <f t="shared" si="0"/>
        <v>VRV A(冷專型)高效型  三相/380V  106.5kW</v>
      </c>
      <c r="G51" s="48" t="s">
        <v>332</v>
      </c>
      <c r="H51" s="11" t="s">
        <v>440</v>
      </c>
      <c r="I51" s="46" t="s">
        <v>233</v>
      </c>
      <c r="J51" s="44" t="s">
        <v>18</v>
      </c>
      <c r="K51" s="34" t="s">
        <v>19</v>
      </c>
      <c r="L51" s="40" t="s">
        <v>206</v>
      </c>
    </row>
    <row r="52" spans="1:12">
      <c r="A52" s="7" t="s">
        <v>355</v>
      </c>
      <c r="B52" s="9" t="s">
        <v>297</v>
      </c>
      <c r="C52" s="11" t="s">
        <v>309</v>
      </c>
      <c r="D52" s="11" t="s">
        <v>353</v>
      </c>
      <c r="E52" s="42">
        <f>E14+E18+E18</f>
        <v>1109600</v>
      </c>
      <c r="F52" s="42" t="str">
        <f t="shared" si="0"/>
        <v>VRV A(冷專型)高效型  三相/380V  112.4kW</v>
      </c>
      <c r="G52" s="48" t="s">
        <v>333</v>
      </c>
      <c r="H52" s="11" t="s">
        <v>440</v>
      </c>
      <c r="I52" s="44" t="s">
        <v>288</v>
      </c>
      <c r="J52" s="44" t="s">
        <v>19</v>
      </c>
      <c r="K52" s="34" t="s">
        <v>19</v>
      </c>
      <c r="L52" s="40" t="s">
        <v>207</v>
      </c>
    </row>
    <row r="53" spans="1:12">
      <c r="A53" s="7" t="s">
        <v>355</v>
      </c>
      <c r="B53" s="9" t="s">
        <v>297</v>
      </c>
      <c r="C53" s="11" t="s">
        <v>310</v>
      </c>
      <c r="D53" s="11" t="s">
        <v>353</v>
      </c>
      <c r="E53" s="42">
        <f>E15+E18+E18</f>
        <v>1163000</v>
      </c>
      <c r="F53" s="42" t="str">
        <f t="shared" si="0"/>
        <v>VRV A(冷專型)高效型  三相/380V  118kW</v>
      </c>
      <c r="G53" s="48" t="s">
        <v>167</v>
      </c>
      <c r="H53" s="11" t="s">
        <v>440</v>
      </c>
      <c r="I53" s="46" t="s">
        <v>233</v>
      </c>
      <c r="J53" s="44" t="s">
        <v>19</v>
      </c>
      <c r="K53" s="34" t="s">
        <v>19</v>
      </c>
      <c r="L53" s="40" t="s">
        <v>207</v>
      </c>
    </row>
    <row r="54" spans="1:12">
      <c r="A54" s="7" t="s">
        <v>355</v>
      </c>
      <c r="B54" s="9" t="s">
        <v>297</v>
      </c>
      <c r="C54" s="11" t="s">
        <v>311</v>
      </c>
      <c r="D54" s="11" t="s">
        <v>353</v>
      </c>
      <c r="E54" s="42">
        <f>E16+E18+E18</f>
        <v>1213000</v>
      </c>
      <c r="F54" s="42" t="str">
        <f t="shared" si="0"/>
        <v>VRV A(冷專型)高效型  三相/380V  123.5kW</v>
      </c>
      <c r="G54" s="48" t="s">
        <v>168</v>
      </c>
      <c r="H54" s="11" t="s">
        <v>440</v>
      </c>
      <c r="I54" s="44" t="s">
        <v>18</v>
      </c>
      <c r="J54" s="44" t="s">
        <v>19</v>
      </c>
      <c r="K54" s="34" t="s">
        <v>19</v>
      </c>
      <c r="L54" s="40" t="s">
        <v>207</v>
      </c>
    </row>
    <row r="55" spans="1:12">
      <c r="A55" s="7" t="s">
        <v>355</v>
      </c>
      <c r="B55" s="9" t="s">
        <v>297</v>
      </c>
      <c r="C55" s="11" t="s">
        <v>312</v>
      </c>
      <c r="D55" s="11" t="s">
        <v>353</v>
      </c>
      <c r="E55" s="42">
        <f>E17+E18+E18</f>
        <v>1264000</v>
      </c>
      <c r="F55" s="42" t="str">
        <f t="shared" si="0"/>
        <v>VRV A(冷專型)高效型  三相/380V  130kW</v>
      </c>
      <c r="G55" s="48" t="s">
        <v>323</v>
      </c>
      <c r="H55" s="11" t="s">
        <v>440</v>
      </c>
      <c r="I55" s="44" t="s">
        <v>289</v>
      </c>
      <c r="J55" s="44" t="s">
        <v>19</v>
      </c>
      <c r="K55" s="34" t="s">
        <v>19</v>
      </c>
      <c r="L55" s="40" t="s">
        <v>208</v>
      </c>
    </row>
    <row r="56" spans="1:12">
      <c r="A56" s="7" t="s">
        <v>355</v>
      </c>
      <c r="B56" s="9" t="s">
        <v>297</v>
      </c>
      <c r="C56" s="11" t="s">
        <v>313</v>
      </c>
      <c r="D56" s="11" t="s">
        <v>353</v>
      </c>
      <c r="E56" s="42">
        <f>E18+E18+E18</f>
        <v>1317000</v>
      </c>
      <c r="F56" s="42" t="str">
        <f t="shared" si="0"/>
        <v>VRV A(冷專型)高效型  三相/380V  135kW</v>
      </c>
      <c r="G56" s="48" t="s">
        <v>239</v>
      </c>
      <c r="H56" s="11" t="s">
        <v>440</v>
      </c>
      <c r="I56" s="44" t="s">
        <v>19</v>
      </c>
      <c r="J56" s="44" t="s">
        <v>19</v>
      </c>
      <c r="K56" s="34" t="s">
        <v>19</v>
      </c>
      <c r="L56" s="40" t="s">
        <v>208</v>
      </c>
    </row>
    <row r="57" spans="1:12">
      <c r="A57" s="7" t="s">
        <v>355</v>
      </c>
      <c r="B57" s="12" t="s">
        <v>362</v>
      </c>
      <c r="C57" s="11" t="s">
        <v>117</v>
      </c>
      <c r="D57" s="11" t="s">
        <v>353</v>
      </c>
      <c r="E57" s="42">
        <v>278000</v>
      </c>
      <c r="F57" s="42" t="str">
        <f t="shared" si="0"/>
        <v>VRV H(冷暖-標準型)  三相/380V  22.4kW</v>
      </c>
      <c r="G57" s="48" t="s">
        <v>25</v>
      </c>
      <c r="L57" s="40" t="s">
        <v>200</v>
      </c>
    </row>
    <row r="58" spans="1:12">
      <c r="A58" s="7" t="s">
        <v>355</v>
      </c>
      <c r="B58" s="12" t="s">
        <v>362</v>
      </c>
      <c r="C58" s="40" t="s">
        <v>171</v>
      </c>
      <c r="D58" s="40" t="s">
        <v>353</v>
      </c>
      <c r="E58" s="42">
        <v>342000</v>
      </c>
      <c r="F58" s="42" t="str">
        <f t="shared" si="0"/>
        <v>VRV H(冷暖-標準型)  三相/380V  28kW</v>
      </c>
      <c r="G58" s="43" t="s">
        <v>31</v>
      </c>
      <c r="L58" s="40" t="s">
        <v>200</v>
      </c>
    </row>
    <row r="59" spans="1:12">
      <c r="A59" s="7" t="s">
        <v>355</v>
      </c>
      <c r="B59" s="12" t="s">
        <v>362</v>
      </c>
      <c r="C59" s="40" t="s">
        <v>132</v>
      </c>
      <c r="D59" s="40" t="s">
        <v>353</v>
      </c>
      <c r="E59" s="42">
        <v>402000</v>
      </c>
      <c r="F59" s="42" t="str">
        <f t="shared" si="0"/>
        <v>VRV H(冷暖-標準型)  三相/380V  33.5kW</v>
      </c>
      <c r="G59" s="43" t="s">
        <v>32</v>
      </c>
      <c r="L59" s="40" t="s">
        <v>200</v>
      </c>
    </row>
    <row r="60" spans="1:12">
      <c r="A60" s="7" t="s">
        <v>355</v>
      </c>
      <c r="B60" s="12" t="s">
        <v>362</v>
      </c>
      <c r="C60" s="40" t="s">
        <v>172</v>
      </c>
      <c r="D60" s="40" t="s">
        <v>353</v>
      </c>
      <c r="E60" s="42">
        <v>465000</v>
      </c>
      <c r="F60" s="42" t="str">
        <f t="shared" si="0"/>
        <v>VRV H(冷暖-標準型)  三相/380V  40kW</v>
      </c>
      <c r="G60" s="43" t="s">
        <v>33</v>
      </c>
      <c r="L60" s="40" t="s">
        <v>201</v>
      </c>
    </row>
    <row r="61" spans="1:12">
      <c r="A61" s="7" t="s">
        <v>355</v>
      </c>
      <c r="B61" s="12" t="s">
        <v>362</v>
      </c>
      <c r="C61" s="40" t="s">
        <v>173</v>
      </c>
      <c r="D61" s="40" t="s">
        <v>353</v>
      </c>
      <c r="E61" s="42">
        <v>525000</v>
      </c>
      <c r="F61" s="42" t="str">
        <f t="shared" si="0"/>
        <v>VRV H(冷暖-標準型)  三相/380V  45kW</v>
      </c>
      <c r="G61" s="43" t="s">
        <v>34</v>
      </c>
      <c r="L61" s="40" t="s">
        <v>201</v>
      </c>
    </row>
    <row r="62" spans="1:12">
      <c r="A62" s="7" t="s">
        <v>355</v>
      </c>
      <c r="B62" s="12" t="s">
        <v>362</v>
      </c>
      <c r="C62" s="40" t="s">
        <v>133</v>
      </c>
      <c r="D62" s="40" t="s">
        <v>353</v>
      </c>
      <c r="E62" s="42">
        <v>590000</v>
      </c>
      <c r="F62" s="42" t="str">
        <f t="shared" si="0"/>
        <v>VRV H(冷暖-標準型)  三相/380V  50kW</v>
      </c>
      <c r="G62" s="43" t="s">
        <v>131</v>
      </c>
      <c r="L62" s="40" t="s">
        <v>201</v>
      </c>
    </row>
    <row r="63" spans="1:12">
      <c r="A63" s="7" t="s">
        <v>355</v>
      </c>
      <c r="B63" s="12" t="s">
        <v>362</v>
      </c>
      <c r="C63" s="40" t="s">
        <v>134</v>
      </c>
      <c r="D63" s="40" t="s">
        <v>353</v>
      </c>
      <c r="E63" s="42">
        <v>649800</v>
      </c>
      <c r="F63" s="42" t="str">
        <f t="shared" si="0"/>
        <v>VRV H(冷暖-標準型)  三相/380V  54kW</v>
      </c>
      <c r="G63" s="43" t="s">
        <v>135</v>
      </c>
      <c r="I63" s="44"/>
      <c r="L63" s="40" t="s">
        <v>201</v>
      </c>
    </row>
    <row r="64" spans="1:12">
      <c r="A64" s="7" t="s">
        <v>355</v>
      </c>
      <c r="B64" s="12" t="s">
        <v>362</v>
      </c>
      <c r="C64" s="40" t="s">
        <v>257</v>
      </c>
      <c r="D64" s="40" t="s">
        <v>353</v>
      </c>
      <c r="E64" s="42">
        <f>E58+E59</f>
        <v>744000</v>
      </c>
      <c r="F64" s="42" t="str">
        <f t="shared" si="0"/>
        <v>VRV H(冷暖-標準型)  三相/380V  61.5kW</v>
      </c>
      <c r="G64" s="43" t="s">
        <v>136</v>
      </c>
      <c r="H64" s="11" t="s">
        <v>439</v>
      </c>
      <c r="I64" s="44" t="s">
        <v>171</v>
      </c>
      <c r="J64" s="44" t="s">
        <v>132</v>
      </c>
      <c r="L64" s="40" t="s">
        <v>203</v>
      </c>
    </row>
    <row r="65" spans="1:12">
      <c r="A65" s="7" t="s">
        <v>355</v>
      </c>
      <c r="B65" s="12" t="s">
        <v>362</v>
      </c>
      <c r="C65" s="40" t="s">
        <v>119</v>
      </c>
      <c r="D65" s="40" t="s">
        <v>353</v>
      </c>
      <c r="E65" s="42">
        <f>E59+E59</f>
        <v>804000</v>
      </c>
      <c r="F65" s="42" t="str">
        <f t="shared" si="0"/>
        <v>VRV H(冷暖-標準型)  三相/380V  67kW</v>
      </c>
      <c r="G65" s="43" t="s">
        <v>137</v>
      </c>
      <c r="H65" s="11" t="s">
        <v>439</v>
      </c>
      <c r="I65" s="44" t="s">
        <v>118</v>
      </c>
      <c r="J65" s="44" t="s">
        <v>118</v>
      </c>
      <c r="L65" s="40" t="s">
        <v>203</v>
      </c>
    </row>
    <row r="66" spans="1:12">
      <c r="A66" s="7" t="s">
        <v>355</v>
      </c>
      <c r="B66" s="12" t="s">
        <v>362</v>
      </c>
      <c r="C66" s="40" t="s">
        <v>183</v>
      </c>
      <c r="D66" s="40" t="s">
        <v>353</v>
      </c>
      <c r="E66" s="42">
        <f>E59+E60</f>
        <v>867000</v>
      </c>
      <c r="F66" s="42" t="str">
        <f t="shared" ref="F66:F100" si="1">B66&amp;"  "&amp;D66&amp;"  "&amp;G66</f>
        <v>VRV H(冷暖-標準型)  三相/380V  73.5kW</v>
      </c>
      <c r="G66" s="43" t="s">
        <v>138</v>
      </c>
      <c r="H66" s="11" t="s">
        <v>439</v>
      </c>
      <c r="I66" s="44" t="s">
        <v>118</v>
      </c>
      <c r="J66" s="44" t="s">
        <v>172</v>
      </c>
      <c r="L66" s="40" t="s">
        <v>204</v>
      </c>
    </row>
    <row r="67" spans="1:12">
      <c r="A67" s="7" t="s">
        <v>355</v>
      </c>
      <c r="B67" s="12" t="s">
        <v>362</v>
      </c>
      <c r="C67" s="40" t="s">
        <v>190</v>
      </c>
      <c r="D67" s="40" t="s">
        <v>353</v>
      </c>
      <c r="E67" s="42">
        <f>E59+E61</f>
        <v>927000</v>
      </c>
      <c r="F67" s="42" t="str">
        <f t="shared" si="1"/>
        <v>VRV H(冷暖-標準型)  三相/380V  78.5kW</v>
      </c>
      <c r="G67" s="43" t="s">
        <v>35</v>
      </c>
      <c r="H67" s="11" t="s">
        <v>439</v>
      </c>
      <c r="I67" s="44" t="s">
        <v>118</v>
      </c>
      <c r="J67" s="44" t="s">
        <v>173</v>
      </c>
      <c r="L67" s="40" t="s">
        <v>204</v>
      </c>
    </row>
    <row r="68" spans="1:12">
      <c r="A68" s="7" t="s">
        <v>355</v>
      </c>
      <c r="B68" s="12" t="s">
        <v>362</v>
      </c>
      <c r="C68" s="40" t="s">
        <v>120</v>
      </c>
      <c r="D68" s="40" t="s">
        <v>353</v>
      </c>
      <c r="E68" s="42">
        <f>E60+E61</f>
        <v>990000</v>
      </c>
      <c r="F68" s="42" t="str">
        <f t="shared" si="1"/>
        <v>VRV H(冷暖-標準型)  三相/380V  85kW</v>
      </c>
      <c r="G68" s="43" t="s">
        <v>36</v>
      </c>
      <c r="H68" s="11" t="s">
        <v>439</v>
      </c>
      <c r="I68" s="44" t="s">
        <v>172</v>
      </c>
      <c r="J68" s="44" t="s">
        <v>173</v>
      </c>
      <c r="L68" s="40" t="s">
        <v>202</v>
      </c>
    </row>
    <row r="69" spans="1:12">
      <c r="A69" s="7" t="s">
        <v>355</v>
      </c>
      <c r="B69" s="12" t="s">
        <v>362</v>
      </c>
      <c r="C69" s="40" t="s">
        <v>189</v>
      </c>
      <c r="D69" s="40" t="s">
        <v>353</v>
      </c>
      <c r="E69" s="42">
        <f>E60+E62</f>
        <v>1055000</v>
      </c>
      <c r="F69" s="42" t="str">
        <f t="shared" si="1"/>
        <v>VRV H(冷暖-標準型)  三相/380V  90kW</v>
      </c>
      <c r="G69" s="43" t="s">
        <v>37</v>
      </c>
      <c r="H69" s="11" t="s">
        <v>439</v>
      </c>
      <c r="I69" s="44" t="s">
        <v>172</v>
      </c>
      <c r="J69" s="44" t="s">
        <v>133</v>
      </c>
      <c r="L69" s="40" t="s">
        <v>202</v>
      </c>
    </row>
    <row r="70" spans="1:12">
      <c r="A70" s="7" t="s">
        <v>355</v>
      </c>
      <c r="B70" s="12" t="s">
        <v>362</v>
      </c>
      <c r="C70" s="40" t="s">
        <v>121</v>
      </c>
      <c r="D70" s="40" t="s">
        <v>353</v>
      </c>
      <c r="E70" s="42">
        <f>E61+E62</f>
        <v>1115000</v>
      </c>
      <c r="F70" s="42" t="str">
        <f t="shared" si="1"/>
        <v>VRV H(冷暖-標準型)  三相/380V  95kW</v>
      </c>
      <c r="G70" s="43" t="s">
        <v>38</v>
      </c>
      <c r="H70" s="11" t="s">
        <v>439</v>
      </c>
      <c r="I70" s="44" t="s">
        <v>173</v>
      </c>
      <c r="J70" s="44" t="s">
        <v>133</v>
      </c>
      <c r="L70" s="40" t="s">
        <v>202</v>
      </c>
    </row>
    <row r="71" spans="1:12">
      <c r="A71" s="7" t="s">
        <v>355</v>
      </c>
      <c r="B71" s="12" t="s">
        <v>362</v>
      </c>
      <c r="C71" s="40" t="s">
        <v>187</v>
      </c>
      <c r="D71" s="40" t="s">
        <v>353</v>
      </c>
      <c r="E71" s="42">
        <f>E62+E62</f>
        <v>1180000</v>
      </c>
      <c r="F71" s="42" t="str">
        <f t="shared" si="1"/>
        <v>VRV H(冷暖-標準型)  三相/380V  100kW</v>
      </c>
      <c r="G71" s="43" t="s">
        <v>139</v>
      </c>
      <c r="H71" s="11" t="s">
        <v>439</v>
      </c>
      <c r="I71" s="44" t="s">
        <v>133</v>
      </c>
      <c r="J71" s="44" t="s">
        <v>133</v>
      </c>
      <c r="L71" s="40" t="s">
        <v>202</v>
      </c>
    </row>
    <row r="72" spans="1:12">
      <c r="A72" s="7" t="s">
        <v>355</v>
      </c>
      <c r="B72" s="12" t="s">
        <v>362</v>
      </c>
      <c r="C72" s="40" t="s">
        <v>188</v>
      </c>
      <c r="D72" s="40" t="s">
        <v>353</v>
      </c>
      <c r="E72" s="42">
        <f>E62+E63</f>
        <v>1239800</v>
      </c>
      <c r="F72" s="42" t="str">
        <f t="shared" si="1"/>
        <v>VRV H(冷暖-標準型)  三相/380V  104kW</v>
      </c>
      <c r="G72" s="43" t="s">
        <v>140</v>
      </c>
      <c r="H72" s="11" t="s">
        <v>439</v>
      </c>
      <c r="I72" s="44" t="s">
        <v>133</v>
      </c>
      <c r="J72" s="44" t="s">
        <v>134</v>
      </c>
      <c r="L72" s="40" t="s">
        <v>202</v>
      </c>
    </row>
    <row r="73" spans="1:12">
      <c r="A73" s="7" t="s">
        <v>355</v>
      </c>
      <c r="B73" s="12" t="s">
        <v>362</v>
      </c>
      <c r="C73" s="40" t="s">
        <v>122</v>
      </c>
      <c r="D73" s="40" t="s">
        <v>353</v>
      </c>
      <c r="E73" s="42">
        <f>E63+E63</f>
        <v>1299600</v>
      </c>
      <c r="F73" s="42" t="str">
        <f t="shared" si="1"/>
        <v>VRV H(冷暖-標準型)  三相/380V  108kW</v>
      </c>
      <c r="G73" s="43" t="s">
        <v>141</v>
      </c>
      <c r="H73" s="11" t="s">
        <v>439</v>
      </c>
      <c r="I73" s="44" t="s">
        <v>134</v>
      </c>
      <c r="J73" s="44" t="s">
        <v>134</v>
      </c>
      <c r="L73" s="40" t="s">
        <v>202</v>
      </c>
    </row>
    <row r="74" spans="1:12">
      <c r="A74" s="7" t="s">
        <v>355</v>
      </c>
      <c r="B74" s="12" t="s">
        <v>362</v>
      </c>
      <c r="C74" s="40" t="s">
        <v>259</v>
      </c>
      <c r="D74" s="40" t="s">
        <v>353</v>
      </c>
      <c r="E74" s="42">
        <f>E59+E59+E62</f>
        <v>1394000</v>
      </c>
      <c r="F74" s="42" t="str">
        <f t="shared" si="1"/>
        <v>VRV H(冷暖-標準型)  三相/380V  117kW</v>
      </c>
      <c r="G74" s="43" t="s">
        <v>142</v>
      </c>
      <c r="H74" s="11" t="s">
        <v>440</v>
      </c>
      <c r="I74" s="46" t="s">
        <v>15</v>
      </c>
      <c r="J74" s="46" t="s">
        <v>15</v>
      </c>
      <c r="K74" s="34" t="s">
        <v>133</v>
      </c>
      <c r="L74" s="40" t="s">
        <v>206</v>
      </c>
    </row>
    <row r="75" spans="1:12">
      <c r="A75" s="7" t="s">
        <v>355</v>
      </c>
      <c r="B75" s="12" t="s">
        <v>362</v>
      </c>
      <c r="C75" s="40" t="s">
        <v>258</v>
      </c>
      <c r="D75" s="40" t="s">
        <v>353</v>
      </c>
      <c r="E75" s="42">
        <f>E59+E59+E63</f>
        <v>1453800</v>
      </c>
      <c r="F75" s="42" t="str">
        <f t="shared" si="1"/>
        <v>VRV H(冷暖-標準型)  三相/380V  121kW</v>
      </c>
      <c r="G75" s="43" t="s">
        <v>143</v>
      </c>
      <c r="H75" s="11" t="s">
        <v>440</v>
      </c>
      <c r="I75" s="46" t="s">
        <v>15</v>
      </c>
      <c r="J75" s="46" t="s">
        <v>15</v>
      </c>
      <c r="K75" s="34" t="s">
        <v>134</v>
      </c>
      <c r="L75" s="40" t="s">
        <v>206</v>
      </c>
    </row>
    <row r="76" spans="1:12">
      <c r="A76" s="7" t="s">
        <v>355</v>
      </c>
      <c r="B76" s="12" t="s">
        <v>362</v>
      </c>
      <c r="C76" s="40" t="s">
        <v>191</v>
      </c>
      <c r="D76" s="40" t="s">
        <v>353</v>
      </c>
      <c r="E76" s="42">
        <f>E60+E60+E62</f>
        <v>1520000</v>
      </c>
      <c r="F76" s="42" t="str">
        <f t="shared" si="1"/>
        <v>VRV H(冷暖-標準型)  三相/380V  130kW</v>
      </c>
      <c r="G76" s="43" t="s">
        <v>39</v>
      </c>
      <c r="H76" s="11" t="s">
        <v>440</v>
      </c>
      <c r="I76" s="44" t="s">
        <v>172</v>
      </c>
      <c r="J76" s="44" t="s">
        <v>172</v>
      </c>
      <c r="K76" s="34" t="s">
        <v>133</v>
      </c>
      <c r="L76" s="40" t="s">
        <v>208</v>
      </c>
    </row>
    <row r="77" spans="1:12">
      <c r="A77" s="7" t="s">
        <v>355</v>
      </c>
      <c r="B77" s="12" t="s">
        <v>362</v>
      </c>
      <c r="C77" s="40" t="s">
        <v>123</v>
      </c>
      <c r="D77" s="40" t="s">
        <v>353</v>
      </c>
      <c r="E77" s="42">
        <f>E60+E61+E62</f>
        <v>1580000</v>
      </c>
      <c r="F77" s="42" t="str">
        <f t="shared" si="1"/>
        <v>VRV H(冷暖-標準型)  三相/380V  135kW</v>
      </c>
      <c r="G77" s="43" t="s">
        <v>40</v>
      </c>
      <c r="H77" s="11" t="s">
        <v>440</v>
      </c>
      <c r="I77" s="44" t="s">
        <v>172</v>
      </c>
      <c r="J77" s="44" t="s">
        <v>173</v>
      </c>
      <c r="K77" s="34" t="s">
        <v>133</v>
      </c>
      <c r="L77" s="40" t="s">
        <v>208</v>
      </c>
    </row>
    <row r="78" spans="1:12">
      <c r="A78" s="7" t="s">
        <v>355</v>
      </c>
      <c r="B78" s="12" t="s">
        <v>362</v>
      </c>
      <c r="C78" s="40" t="s">
        <v>144</v>
      </c>
      <c r="D78" s="40" t="s">
        <v>353</v>
      </c>
      <c r="E78" s="42">
        <f>E60+E62+E62</f>
        <v>1645000</v>
      </c>
      <c r="F78" s="42" t="str">
        <f t="shared" si="1"/>
        <v>VRV H(冷暖-標準型)  三相/380V  140kW</v>
      </c>
      <c r="G78" s="43" t="s">
        <v>154</v>
      </c>
      <c r="H78" s="11" t="s">
        <v>440</v>
      </c>
      <c r="I78" s="44" t="s">
        <v>172</v>
      </c>
      <c r="J78" s="44" t="s">
        <v>133</v>
      </c>
      <c r="K78" s="34" t="s">
        <v>133</v>
      </c>
      <c r="L78" s="40" t="s">
        <v>208</v>
      </c>
    </row>
    <row r="79" spans="1:12">
      <c r="A79" s="7" t="s">
        <v>355</v>
      </c>
      <c r="B79" s="12" t="s">
        <v>362</v>
      </c>
      <c r="C79" s="40" t="s">
        <v>145</v>
      </c>
      <c r="D79" s="40" t="s">
        <v>353</v>
      </c>
      <c r="E79" s="42">
        <f>E61+E62+E62</f>
        <v>1705000</v>
      </c>
      <c r="F79" s="42" t="str">
        <f t="shared" si="1"/>
        <v>VRV H(冷暖-標準型)  三相/380V  145kW</v>
      </c>
      <c r="G79" s="43" t="s">
        <v>155</v>
      </c>
      <c r="H79" s="11" t="s">
        <v>440</v>
      </c>
      <c r="I79" s="44" t="s">
        <v>173</v>
      </c>
      <c r="J79" s="44" t="s">
        <v>133</v>
      </c>
      <c r="K79" s="34" t="s">
        <v>133</v>
      </c>
      <c r="L79" s="40" t="s">
        <v>208</v>
      </c>
    </row>
    <row r="80" spans="1:12">
      <c r="A80" s="7" t="s">
        <v>355</v>
      </c>
      <c r="B80" s="12" t="s">
        <v>362</v>
      </c>
      <c r="C80" s="40" t="s">
        <v>146</v>
      </c>
      <c r="D80" s="40" t="s">
        <v>353</v>
      </c>
      <c r="E80" s="42">
        <f>E62+E62+E62</f>
        <v>1770000</v>
      </c>
      <c r="F80" s="42" t="str">
        <f t="shared" si="1"/>
        <v>VRV H(冷暖-標準型)  三相/380V  150kW</v>
      </c>
      <c r="G80" s="43" t="s">
        <v>156</v>
      </c>
      <c r="H80" s="11" t="s">
        <v>440</v>
      </c>
      <c r="I80" s="44" t="s">
        <v>133</v>
      </c>
      <c r="J80" s="44" t="s">
        <v>133</v>
      </c>
      <c r="K80" s="34" t="s">
        <v>133</v>
      </c>
      <c r="L80" s="40" t="s">
        <v>208</v>
      </c>
    </row>
    <row r="81" spans="1:12">
      <c r="A81" s="7" t="s">
        <v>355</v>
      </c>
      <c r="B81" s="12" t="s">
        <v>362</v>
      </c>
      <c r="C81" s="40" t="s">
        <v>147</v>
      </c>
      <c r="D81" s="40" t="s">
        <v>353</v>
      </c>
      <c r="E81" s="42">
        <f>E62+E62+E63</f>
        <v>1829800</v>
      </c>
      <c r="F81" s="42" t="str">
        <f t="shared" si="1"/>
        <v>VRV H(冷暖-標準型)  三相/380V  154kW</v>
      </c>
      <c r="G81" s="43" t="s">
        <v>157</v>
      </c>
      <c r="H81" s="11" t="s">
        <v>440</v>
      </c>
      <c r="I81" s="44" t="s">
        <v>133</v>
      </c>
      <c r="J81" s="44" t="s">
        <v>133</v>
      </c>
      <c r="K81" s="34" t="s">
        <v>134</v>
      </c>
      <c r="L81" s="40" t="s">
        <v>208</v>
      </c>
    </row>
    <row r="82" spans="1:12">
      <c r="A82" s="7" t="s">
        <v>355</v>
      </c>
      <c r="B82" s="12" t="s">
        <v>362</v>
      </c>
      <c r="C82" s="40" t="s">
        <v>148</v>
      </c>
      <c r="D82" s="40" t="s">
        <v>353</v>
      </c>
      <c r="E82" s="42">
        <f>E62+E63+E63</f>
        <v>1889600</v>
      </c>
      <c r="F82" s="42" t="str">
        <f t="shared" si="1"/>
        <v>VRV H(冷暖-標準型)  三相/380V  158kW</v>
      </c>
      <c r="G82" s="43" t="s">
        <v>45</v>
      </c>
      <c r="H82" s="11" t="s">
        <v>440</v>
      </c>
      <c r="I82" s="44" t="s">
        <v>133</v>
      </c>
      <c r="J82" s="44" t="s">
        <v>134</v>
      </c>
      <c r="K82" s="34" t="s">
        <v>134</v>
      </c>
      <c r="L82" s="40" t="s">
        <v>208</v>
      </c>
    </row>
    <row r="83" spans="1:12">
      <c r="A83" s="7" t="s">
        <v>355</v>
      </c>
      <c r="B83" s="12" t="s">
        <v>362</v>
      </c>
      <c r="C83" s="40" t="s">
        <v>149</v>
      </c>
      <c r="D83" s="40" t="s">
        <v>353</v>
      </c>
      <c r="E83" s="42">
        <f>E63+E63+E63</f>
        <v>1949400</v>
      </c>
      <c r="F83" s="42" t="str">
        <f t="shared" si="1"/>
        <v>VRV H(冷暖-標準型)  三相/380V  162kW</v>
      </c>
      <c r="G83" s="43" t="s">
        <v>46</v>
      </c>
      <c r="H83" s="11" t="s">
        <v>440</v>
      </c>
      <c r="I83" s="44" t="s">
        <v>134</v>
      </c>
      <c r="J83" s="44" t="s">
        <v>134</v>
      </c>
      <c r="K83" s="34" t="s">
        <v>134</v>
      </c>
      <c r="L83" s="40" t="s">
        <v>208</v>
      </c>
    </row>
    <row r="84" spans="1:12">
      <c r="A84" s="7" t="s">
        <v>355</v>
      </c>
      <c r="B84" s="5" t="s">
        <v>363</v>
      </c>
      <c r="C84" s="40" t="s">
        <v>124</v>
      </c>
      <c r="D84" s="40" t="s">
        <v>353</v>
      </c>
      <c r="E84" s="41">
        <f>E57+E57</f>
        <v>556000</v>
      </c>
      <c r="F84" s="42" t="str">
        <f t="shared" si="1"/>
        <v>VRV H(冷暖-高效率型)  三相/380V  44.8kW</v>
      </c>
      <c r="G84" s="43" t="s">
        <v>41</v>
      </c>
      <c r="H84" s="11" t="s">
        <v>439</v>
      </c>
      <c r="I84" s="44" t="s">
        <v>117</v>
      </c>
      <c r="J84" s="44" t="s">
        <v>117</v>
      </c>
      <c r="L84" s="40" t="s">
        <v>203</v>
      </c>
    </row>
    <row r="85" spans="1:12">
      <c r="A85" s="7" t="s">
        <v>355</v>
      </c>
      <c r="B85" s="5" t="s">
        <v>363</v>
      </c>
      <c r="C85" s="40" t="s">
        <v>256</v>
      </c>
      <c r="D85" s="40" t="s">
        <v>353</v>
      </c>
      <c r="E85" s="41">
        <f>E57+E58</f>
        <v>620000</v>
      </c>
      <c r="F85" s="42" t="str">
        <f t="shared" si="1"/>
        <v>VRV H(冷暖-高效率型)  三相/380V  50.4kW</v>
      </c>
      <c r="G85" s="43" t="s">
        <v>42</v>
      </c>
      <c r="H85" s="11" t="s">
        <v>439</v>
      </c>
      <c r="I85" s="44" t="s">
        <v>117</v>
      </c>
      <c r="J85" s="44" t="s">
        <v>171</v>
      </c>
      <c r="L85" s="40" t="s">
        <v>203</v>
      </c>
    </row>
    <row r="86" spans="1:12">
      <c r="A86" s="7" t="s">
        <v>355</v>
      </c>
      <c r="B86" s="5" t="s">
        <v>363</v>
      </c>
      <c r="C86" s="40" t="s">
        <v>255</v>
      </c>
      <c r="D86" s="40" t="s">
        <v>353</v>
      </c>
      <c r="E86" s="41">
        <f>E58+E58</f>
        <v>684000</v>
      </c>
      <c r="F86" s="42" t="str">
        <f t="shared" si="1"/>
        <v>VRV H(冷暖-高效率型)  三相/380V  56kW</v>
      </c>
      <c r="G86" s="43" t="s">
        <v>158</v>
      </c>
      <c r="H86" s="11" t="s">
        <v>439</v>
      </c>
      <c r="I86" s="44" t="s">
        <v>171</v>
      </c>
      <c r="J86" s="44" t="s">
        <v>171</v>
      </c>
      <c r="L86" s="40" t="s">
        <v>204</v>
      </c>
    </row>
    <row r="87" spans="1:12">
      <c r="A87" s="7" t="s">
        <v>355</v>
      </c>
      <c r="B87" s="5" t="s">
        <v>363</v>
      </c>
      <c r="C87" s="40" t="s">
        <v>125</v>
      </c>
      <c r="D87" s="40" t="s">
        <v>353</v>
      </c>
      <c r="E87" s="41">
        <f>E57+E60</f>
        <v>743000</v>
      </c>
      <c r="F87" s="42" t="str">
        <f t="shared" si="1"/>
        <v>VRV H(冷暖-高效率型)  三相/380V  62.4kW</v>
      </c>
      <c r="G87" s="43" t="s">
        <v>159</v>
      </c>
      <c r="H87" s="11" t="s">
        <v>439</v>
      </c>
      <c r="I87" s="44" t="s">
        <v>117</v>
      </c>
      <c r="J87" s="44" t="s">
        <v>172</v>
      </c>
      <c r="L87" s="40" t="s">
        <v>204</v>
      </c>
    </row>
    <row r="88" spans="1:12">
      <c r="A88" s="7" t="s">
        <v>355</v>
      </c>
      <c r="B88" s="5" t="s">
        <v>363</v>
      </c>
      <c r="C88" s="40" t="s">
        <v>285</v>
      </c>
      <c r="D88" s="40" t="s">
        <v>353</v>
      </c>
      <c r="E88" s="41" t="s">
        <v>451</v>
      </c>
      <c r="F88" s="42" t="str">
        <f t="shared" si="1"/>
        <v>VRV H(冷暖-高效率型)  三相/380V  68kW</v>
      </c>
      <c r="G88" s="43" t="s">
        <v>160</v>
      </c>
      <c r="H88" s="11" t="s">
        <v>439</v>
      </c>
      <c r="I88" s="44" t="s">
        <v>171</v>
      </c>
      <c r="J88" s="44" t="s">
        <v>172</v>
      </c>
      <c r="L88" s="40" t="s">
        <v>204</v>
      </c>
    </row>
    <row r="89" spans="1:12">
      <c r="A89" s="7" t="s">
        <v>355</v>
      </c>
      <c r="B89" s="5" t="s">
        <v>363</v>
      </c>
      <c r="C89" s="40" t="s">
        <v>126</v>
      </c>
      <c r="D89" s="40" t="s">
        <v>353</v>
      </c>
      <c r="E89" s="41">
        <f>E57+E62</f>
        <v>868000</v>
      </c>
      <c r="F89" s="42" t="str">
        <f t="shared" si="1"/>
        <v>VRV H(冷暖-高效率型)  三相/380V  72.4kW</v>
      </c>
      <c r="G89" s="43" t="s">
        <v>161</v>
      </c>
      <c r="H89" s="11" t="s">
        <v>439</v>
      </c>
      <c r="I89" s="44" t="s">
        <v>117</v>
      </c>
      <c r="J89" s="44" t="s">
        <v>133</v>
      </c>
      <c r="L89" s="40" t="s">
        <v>204</v>
      </c>
    </row>
    <row r="90" spans="1:12">
      <c r="A90" s="7" t="s">
        <v>355</v>
      </c>
      <c r="B90" s="5" t="s">
        <v>363</v>
      </c>
      <c r="C90" s="40" t="s">
        <v>464</v>
      </c>
      <c r="D90" s="40" t="s">
        <v>353</v>
      </c>
      <c r="E90" s="41">
        <f>E60+E60</f>
        <v>930000</v>
      </c>
      <c r="F90" s="42" t="str">
        <f t="shared" si="1"/>
        <v>VRV H(冷暖-高效率型)  三相/380V  80kW</v>
      </c>
      <c r="G90" s="43" t="s">
        <v>162</v>
      </c>
      <c r="H90" s="11" t="s">
        <v>439</v>
      </c>
      <c r="I90" s="44" t="s">
        <v>172</v>
      </c>
      <c r="J90" s="44" t="s">
        <v>172</v>
      </c>
      <c r="L90" s="40" t="s">
        <v>202</v>
      </c>
    </row>
    <row r="91" spans="1:12">
      <c r="A91" s="7" t="s">
        <v>355</v>
      </c>
      <c r="B91" s="5" t="s">
        <v>363</v>
      </c>
      <c r="C91" s="40" t="s">
        <v>127</v>
      </c>
      <c r="D91" s="40" t="s">
        <v>353</v>
      </c>
      <c r="E91" s="41">
        <f>E57+E58+E59</f>
        <v>1022000</v>
      </c>
      <c r="F91" s="42" t="str">
        <f t="shared" si="1"/>
        <v>VRV H(冷暖-高效率型)  三相/380V  83.9kW</v>
      </c>
      <c r="G91" s="43" t="s">
        <v>163</v>
      </c>
      <c r="H91" s="11" t="s">
        <v>440</v>
      </c>
      <c r="I91" s="44" t="s">
        <v>117</v>
      </c>
      <c r="J91" s="44" t="s">
        <v>171</v>
      </c>
      <c r="K91" s="34" t="s">
        <v>132</v>
      </c>
      <c r="L91" s="40" t="s">
        <v>205</v>
      </c>
    </row>
    <row r="92" spans="1:12">
      <c r="A92" s="7" t="s">
        <v>355</v>
      </c>
      <c r="B92" s="5" t="s">
        <v>363</v>
      </c>
      <c r="C92" s="40" t="s">
        <v>184</v>
      </c>
      <c r="D92" s="40" t="s">
        <v>353</v>
      </c>
      <c r="E92" s="41">
        <f>E57+E59+E59</f>
        <v>1082000</v>
      </c>
      <c r="F92" s="42" t="str">
        <f t="shared" si="1"/>
        <v>VRV H(冷暖-高效率型)  三相/380V  89.4kW</v>
      </c>
      <c r="G92" s="43" t="s">
        <v>164</v>
      </c>
      <c r="H92" s="11" t="s">
        <v>440</v>
      </c>
      <c r="I92" s="44" t="s">
        <v>117</v>
      </c>
      <c r="J92" s="44" t="s">
        <v>132</v>
      </c>
      <c r="K92" s="34" t="s">
        <v>132</v>
      </c>
      <c r="L92" s="40" t="s">
        <v>205</v>
      </c>
    </row>
    <row r="93" spans="1:12">
      <c r="A93" s="7" t="s">
        <v>355</v>
      </c>
      <c r="B93" s="5" t="s">
        <v>363</v>
      </c>
      <c r="C93" s="40" t="s">
        <v>195</v>
      </c>
      <c r="D93" s="40" t="s">
        <v>353</v>
      </c>
      <c r="E93" s="41">
        <f>E58+E59+E59</f>
        <v>1146000</v>
      </c>
      <c r="F93" s="42" t="str">
        <f t="shared" si="1"/>
        <v>VRV H(冷暖-高效率型)  三相/380V  95kW</v>
      </c>
      <c r="G93" s="43" t="s">
        <v>165</v>
      </c>
      <c r="H93" s="11" t="s">
        <v>440</v>
      </c>
      <c r="I93" s="44" t="s">
        <v>171</v>
      </c>
      <c r="J93" s="44" t="s">
        <v>132</v>
      </c>
      <c r="K93" s="34" t="s">
        <v>132</v>
      </c>
      <c r="L93" s="40" t="s">
        <v>205</v>
      </c>
    </row>
    <row r="94" spans="1:12">
      <c r="A94" s="7" t="s">
        <v>355</v>
      </c>
      <c r="B94" s="5" t="s">
        <v>363</v>
      </c>
      <c r="C94" s="40" t="s">
        <v>128</v>
      </c>
      <c r="D94" s="40" t="s">
        <v>353</v>
      </c>
      <c r="E94" s="41">
        <f>E59+E59+E59</f>
        <v>1206000</v>
      </c>
      <c r="F94" s="42" t="str">
        <f t="shared" si="1"/>
        <v>VRV H(冷暖-高效率型)  三相/380V  100.5kW</v>
      </c>
      <c r="G94" s="43" t="s">
        <v>56</v>
      </c>
      <c r="H94" s="11" t="s">
        <v>440</v>
      </c>
      <c r="I94" s="44" t="s">
        <v>132</v>
      </c>
      <c r="J94" s="44" t="s">
        <v>132</v>
      </c>
      <c r="K94" s="34" t="s">
        <v>132</v>
      </c>
      <c r="L94" s="40" t="s">
        <v>205</v>
      </c>
    </row>
    <row r="95" spans="1:12">
      <c r="A95" s="7" t="s">
        <v>355</v>
      </c>
      <c r="B95" s="5" t="s">
        <v>363</v>
      </c>
      <c r="C95" s="40" t="s">
        <v>129</v>
      </c>
      <c r="D95" s="40" t="s">
        <v>353</v>
      </c>
      <c r="E95" s="50">
        <f>E58+E58+E62</f>
        <v>1274000</v>
      </c>
      <c r="F95" s="42" t="str">
        <f t="shared" si="1"/>
        <v>VRV H(冷暖-高效率型)  三相/380V  106kW</v>
      </c>
      <c r="G95" s="43" t="s">
        <v>43</v>
      </c>
      <c r="H95" s="11" t="s">
        <v>440</v>
      </c>
      <c r="I95" s="44" t="s">
        <v>171</v>
      </c>
      <c r="J95" s="44" t="s">
        <v>171</v>
      </c>
      <c r="K95" s="34" t="s">
        <v>133</v>
      </c>
      <c r="L95" s="40" t="s">
        <v>206</v>
      </c>
    </row>
    <row r="96" spans="1:12">
      <c r="A96" s="7" t="s">
        <v>355</v>
      </c>
      <c r="B96" s="5" t="s">
        <v>363</v>
      </c>
      <c r="C96" s="40" t="s">
        <v>130</v>
      </c>
      <c r="D96" s="40" t="s">
        <v>353</v>
      </c>
      <c r="E96" s="41">
        <f>E59+E59+E61</f>
        <v>1329000</v>
      </c>
      <c r="F96" s="42" t="str">
        <f t="shared" si="1"/>
        <v>VRV H(冷暖-高效率型)  三相/380V  112kW</v>
      </c>
      <c r="G96" s="43" t="s">
        <v>166</v>
      </c>
      <c r="H96" s="11" t="s">
        <v>440</v>
      </c>
      <c r="I96" s="44" t="s">
        <v>132</v>
      </c>
      <c r="J96" s="44" t="s">
        <v>132</v>
      </c>
      <c r="K96" s="34" t="s">
        <v>173</v>
      </c>
      <c r="L96" s="40" t="s">
        <v>206</v>
      </c>
    </row>
    <row r="97" spans="1:15">
      <c r="A97" s="7" t="s">
        <v>355</v>
      </c>
      <c r="B97" s="5" t="s">
        <v>363</v>
      </c>
      <c r="C97" s="40" t="s">
        <v>150</v>
      </c>
      <c r="D97" s="40" t="s">
        <v>353</v>
      </c>
      <c r="E97" s="41">
        <f>E58+E60+E62</f>
        <v>1397000</v>
      </c>
      <c r="F97" s="42" t="str">
        <f t="shared" si="1"/>
        <v>VRV H(冷暖-高效率型)  三相/380V  118kW</v>
      </c>
      <c r="G97" s="43" t="s">
        <v>167</v>
      </c>
      <c r="H97" s="11" t="s">
        <v>440</v>
      </c>
      <c r="I97" s="46" t="s">
        <v>16</v>
      </c>
      <c r="J97" s="44" t="s">
        <v>172</v>
      </c>
      <c r="K97" s="34" t="s">
        <v>133</v>
      </c>
      <c r="L97" s="40" t="s">
        <v>208</v>
      </c>
    </row>
    <row r="98" spans="1:15">
      <c r="A98" s="7" t="s">
        <v>355</v>
      </c>
      <c r="B98" s="5" t="s">
        <v>363</v>
      </c>
      <c r="C98" s="40" t="s">
        <v>151</v>
      </c>
      <c r="D98" s="40" t="s">
        <v>353</v>
      </c>
      <c r="E98" s="41">
        <f>E59+E60+E62</f>
        <v>1457000</v>
      </c>
      <c r="F98" s="42" t="str">
        <f t="shared" si="1"/>
        <v>VRV H(冷暖-高效率型)  三相/380V  123.5kW</v>
      </c>
      <c r="G98" s="43" t="s">
        <v>168</v>
      </c>
      <c r="H98" s="11" t="s">
        <v>440</v>
      </c>
      <c r="I98" s="44" t="s">
        <v>132</v>
      </c>
      <c r="J98" s="44" t="s">
        <v>172</v>
      </c>
      <c r="K98" s="34" t="s">
        <v>133</v>
      </c>
      <c r="L98" s="40" t="s">
        <v>208</v>
      </c>
    </row>
    <row r="99" spans="1:15">
      <c r="A99" s="7" t="s">
        <v>355</v>
      </c>
      <c r="B99" s="5" t="s">
        <v>363</v>
      </c>
      <c r="C99" s="40" t="s">
        <v>152</v>
      </c>
      <c r="D99" s="40" t="s">
        <v>353</v>
      </c>
      <c r="E99" s="41">
        <f>E58+E62+E62</f>
        <v>1522000</v>
      </c>
      <c r="F99" s="42" t="str">
        <f t="shared" si="1"/>
        <v>VRV H(冷暖-高效率型)  三相/380V  128kW</v>
      </c>
      <c r="G99" s="43" t="s">
        <v>169</v>
      </c>
      <c r="H99" s="11" t="s">
        <v>440</v>
      </c>
      <c r="I99" s="46" t="s">
        <v>16</v>
      </c>
      <c r="J99" s="44" t="s">
        <v>133</v>
      </c>
      <c r="K99" s="34" t="s">
        <v>133</v>
      </c>
      <c r="L99" s="40" t="s">
        <v>208</v>
      </c>
    </row>
    <row r="100" spans="1:15">
      <c r="A100" s="7" t="s">
        <v>355</v>
      </c>
      <c r="B100" s="5" t="s">
        <v>363</v>
      </c>
      <c r="C100" s="40" t="s">
        <v>153</v>
      </c>
      <c r="D100" s="40" t="s">
        <v>353</v>
      </c>
      <c r="E100" s="41">
        <f>E59+E62+E62</f>
        <v>1582000</v>
      </c>
      <c r="F100" s="42" t="str">
        <f t="shared" si="1"/>
        <v>VRV H(冷暖-高效率型)  三相/380V  133.5kW</v>
      </c>
      <c r="G100" s="43" t="s">
        <v>170</v>
      </c>
      <c r="H100" s="11" t="s">
        <v>440</v>
      </c>
      <c r="I100" s="44" t="s">
        <v>132</v>
      </c>
      <c r="J100" s="44" t="s">
        <v>133</v>
      </c>
      <c r="K100" s="34" t="s">
        <v>133</v>
      </c>
      <c r="L100" s="40" t="s">
        <v>208</v>
      </c>
    </row>
    <row r="101" spans="1:15">
      <c r="A101" s="13" t="s">
        <v>364</v>
      </c>
      <c r="B101" s="6" t="s">
        <v>365</v>
      </c>
      <c r="C101" s="11" t="s">
        <v>366</v>
      </c>
      <c r="D101" s="40" t="s">
        <v>348</v>
      </c>
      <c r="E101" s="41">
        <v>149200</v>
      </c>
      <c r="F101" s="42" t="str">
        <f t="shared" ref="F101:F103" si="2">B101&amp;"  "&amp;D101&amp;"  "&amp;G101</f>
        <v>落地箱型  三相/220V  28kW</v>
      </c>
      <c r="G101" s="43" t="s">
        <v>245</v>
      </c>
      <c r="H101" s="11" t="s">
        <v>253</v>
      </c>
      <c r="I101" s="42">
        <v>20800</v>
      </c>
      <c r="J101" s="11" t="s">
        <v>254</v>
      </c>
      <c r="K101" s="41">
        <v>2300</v>
      </c>
      <c r="L101" s="40" t="s">
        <v>209</v>
      </c>
      <c r="O101" s="1">
        <v>250</v>
      </c>
    </row>
    <row r="102" spans="1:15">
      <c r="A102" s="13" t="s">
        <v>364</v>
      </c>
      <c r="B102" s="6" t="s">
        <v>365</v>
      </c>
      <c r="C102" s="11" t="s">
        <v>367</v>
      </c>
      <c r="D102" s="40" t="s">
        <v>348</v>
      </c>
      <c r="E102" s="41">
        <v>221000</v>
      </c>
      <c r="F102" s="42" t="str">
        <f t="shared" si="2"/>
        <v>落地箱型  三相/220V  45kW</v>
      </c>
      <c r="G102" s="43" t="s">
        <v>248</v>
      </c>
      <c r="H102" s="11" t="s">
        <v>251</v>
      </c>
      <c r="I102" s="42">
        <v>28500</v>
      </c>
      <c r="J102" s="42" t="s">
        <v>19</v>
      </c>
      <c r="L102" s="40" t="s">
        <v>209</v>
      </c>
      <c r="O102" s="1">
        <v>400</v>
      </c>
    </row>
    <row r="103" spans="1:15">
      <c r="A103" s="13" t="s">
        <v>364</v>
      </c>
      <c r="B103" s="6" t="s">
        <v>365</v>
      </c>
      <c r="C103" s="11" t="s">
        <v>368</v>
      </c>
      <c r="D103" s="40" t="s">
        <v>348</v>
      </c>
      <c r="E103" s="41">
        <v>270000</v>
      </c>
      <c r="F103" s="42" t="str">
        <f t="shared" si="2"/>
        <v>落地箱型  三相/220V  56kW</v>
      </c>
      <c r="G103" s="43" t="s">
        <v>158</v>
      </c>
      <c r="H103" s="11" t="s">
        <v>252</v>
      </c>
      <c r="I103" s="42">
        <v>34500</v>
      </c>
      <c r="J103" s="42" t="s">
        <v>96</v>
      </c>
      <c r="L103" s="40" t="s">
        <v>209</v>
      </c>
      <c r="O103" s="1">
        <v>500</v>
      </c>
    </row>
    <row r="104" spans="1:15">
      <c r="A104" s="13" t="s">
        <v>364</v>
      </c>
      <c r="B104" s="14" t="s">
        <v>369</v>
      </c>
      <c r="C104" s="11" t="s">
        <v>370</v>
      </c>
      <c r="D104" s="40" t="s">
        <v>343</v>
      </c>
      <c r="E104" s="41">
        <v>105000</v>
      </c>
      <c r="F104" s="42" t="str">
        <f t="shared" ref="F104:F167" si="3">B104&amp;"  "&amp;G104</f>
        <v>Cube 單點式冷暖風機  2.8kW</v>
      </c>
      <c r="G104" s="43" t="s">
        <v>102</v>
      </c>
      <c r="I104" s="42"/>
      <c r="J104" s="42"/>
      <c r="L104" s="40" t="s">
        <v>317</v>
      </c>
      <c r="O104" s="1">
        <v>25</v>
      </c>
    </row>
    <row r="105" spans="1:15">
      <c r="A105" s="13" t="s">
        <v>364</v>
      </c>
      <c r="B105" s="15" t="s">
        <v>371</v>
      </c>
      <c r="C105" s="11" t="s">
        <v>372</v>
      </c>
      <c r="D105" s="40" t="s">
        <v>343</v>
      </c>
      <c r="E105" s="50">
        <v>40400</v>
      </c>
      <c r="F105" s="42" t="str">
        <f t="shared" si="3"/>
        <v>嵌入型-雙向氣流+飾板  2.2kW</v>
      </c>
      <c r="G105" s="43" t="s">
        <v>101</v>
      </c>
      <c r="I105" s="46" t="s">
        <v>68</v>
      </c>
      <c r="J105" s="42">
        <v>10500</v>
      </c>
      <c r="L105" s="40" t="s">
        <v>209</v>
      </c>
      <c r="O105" s="1">
        <v>20</v>
      </c>
    </row>
    <row r="106" spans="1:15">
      <c r="A106" s="13" t="s">
        <v>364</v>
      </c>
      <c r="B106" s="15" t="s">
        <v>371</v>
      </c>
      <c r="C106" s="11" t="s">
        <v>373</v>
      </c>
      <c r="D106" s="40" t="s">
        <v>343</v>
      </c>
      <c r="E106" s="50">
        <v>42600</v>
      </c>
      <c r="F106" s="42" t="str">
        <f t="shared" si="3"/>
        <v>嵌入型-雙向氣流+飾板  2.8kW</v>
      </c>
      <c r="G106" s="43" t="s">
        <v>49</v>
      </c>
      <c r="I106" s="46" t="s">
        <v>68</v>
      </c>
      <c r="J106" s="42">
        <v>10500</v>
      </c>
      <c r="L106" s="40" t="s">
        <v>209</v>
      </c>
      <c r="O106" s="1">
        <v>25</v>
      </c>
    </row>
    <row r="107" spans="1:15">
      <c r="A107" s="13" t="s">
        <v>364</v>
      </c>
      <c r="B107" s="15" t="s">
        <v>371</v>
      </c>
      <c r="C107" s="11" t="s">
        <v>374</v>
      </c>
      <c r="D107" s="40" t="s">
        <v>343</v>
      </c>
      <c r="E107" s="50">
        <v>44200</v>
      </c>
      <c r="F107" s="42" t="str">
        <f t="shared" si="3"/>
        <v>嵌入型-雙向氣流+飾板  3.6kW</v>
      </c>
      <c r="G107" s="43" t="s">
        <v>50</v>
      </c>
      <c r="I107" s="46" t="s">
        <v>68</v>
      </c>
      <c r="J107" s="42">
        <v>10500</v>
      </c>
      <c r="L107" s="40" t="s">
        <v>209</v>
      </c>
      <c r="O107" s="1">
        <v>31.25</v>
      </c>
    </row>
    <row r="108" spans="1:15">
      <c r="A108" s="13" t="s">
        <v>364</v>
      </c>
      <c r="B108" s="15" t="s">
        <v>371</v>
      </c>
      <c r="C108" s="11" t="s">
        <v>375</v>
      </c>
      <c r="D108" s="40" t="s">
        <v>343</v>
      </c>
      <c r="E108" s="50">
        <v>45300</v>
      </c>
      <c r="F108" s="42" t="str">
        <f t="shared" si="3"/>
        <v>嵌入型-雙向氣流+飾板  4.5kW</v>
      </c>
      <c r="G108" s="43" t="s">
        <v>51</v>
      </c>
      <c r="I108" s="46" t="s">
        <v>68</v>
      </c>
      <c r="J108" s="42">
        <v>10500</v>
      </c>
      <c r="L108" s="40" t="s">
        <v>209</v>
      </c>
      <c r="O108" s="1">
        <v>40</v>
      </c>
    </row>
    <row r="109" spans="1:15">
      <c r="A109" s="13" t="s">
        <v>364</v>
      </c>
      <c r="B109" s="15" t="s">
        <v>371</v>
      </c>
      <c r="C109" s="11" t="s">
        <v>376</v>
      </c>
      <c r="D109" s="40" t="s">
        <v>343</v>
      </c>
      <c r="E109" s="50">
        <v>48200</v>
      </c>
      <c r="F109" s="42" t="str">
        <f t="shared" si="3"/>
        <v>嵌入型-雙向氣流+飾板  5.6kW</v>
      </c>
      <c r="G109" s="43" t="s">
        <v>52</v>
      </c>
      <c r="I109" s="46" t="s">
        <v>69</v>
      </c>
      <c r="J109" s="42">
        <v>11500</v>
      </c>
      <c r="L109" s="40" t="s">
        <v>210</v>
      </c>
      <c r="O109" s="1">
        <v>50</v>
      </c>
    </row>
    <row r="110" spans="1:15">
      <c r="A110" s="13" t="s">
        <v>364</v>
      </c>
      <c r="B110" s="15" t="s">
        <v>371</v>
      </c>
      <c r="C110" s="11" t="s">
        <v>377</v>
      </c>
      <c r="D110" s="40" t="s">
        <v>343</v>
      </c>
      <c r="E110" s="50">
        <v>53200</v>
      </c>
      <c r="F110" s="42" t="str">
        <f t="shared" si="3"/>
        <v>嵌入型-雙向氣流+飾板  7.1kW</v>
      </c>
      <c r="G110" s="43" t="s">
        <v>53</v>
      </c>
      <c r="I110" s="46" t="s">
        <v>69</v>
      </c>
      <c r="J110" s="42">
        <v>11500</v>
      </c>
      <c r="L110" s="40" t="s">
        <v>210</v>
      </c>
      <c r="O110" s="1">
        <v>62.5</v>
      </c>
    </row>
    <row r="111" spans="1:15">
      <c r="A111" s="13" t="s">
        <v>364</v>
      </c>
      <c r="B111" s="15" t="s">
        <v>371</v>
      </c>
      <c r="C111" s="11" t="s">
        <v>378</v>
      </c>
      <c r="D111" s="40" t="s">
        <v>343</v>
      </c>
      <c r="E111" s="50">
        <v>59700</v>
      </c>
      <c r="F111" s="42" t="str">
        <f t="shared" si="3"/>
        <v>嵌入型-雙向氣流+飾板  9kW</v>
      </c>
      <c r="G111" s="43" t="s">
        <v>54</v>
      </c>
      <c r="I111" s="46" t="s">
        <v>70</v>
      </c>
      <c r="J111" s="42">
        <v>13000</v>
      </c>
      <c r="L111" s="40" t="s">
        <v>211</v>
      </c>
      <c r="O111" s="1">
        <v>80</v>
      </c>
    </row>
    <row r="112" spans="1:15" ht="15" customHeight="1">
      <c r="A112" s="13" t="s">
        <v>364</v>
      </c>
      <c r="B112" s="15" t="s">
        <v>371</v>
      </c>
      <c r="C112" s="11" t="s">
        <v>379</v>
      </c>
      <c r="D112" s="40" t="s">
        <v>343</v>
      </c>
      <c r="E112" s="50">
        <v>65200</v>
      </c>
      <c r="F112" s="42" t="str">
        <f t="shared" si="3"/>
        <v>嵌入型-雙向氣流+飾板  14kW</v>
      </c>
      <c r="G112" s="43" t="s">
        <v>24</v>
      </c>
      <c r="I112" s="46" t="s">
        <v>70</v>
      </c>
      <c r="J112" s="42">
        <v>13000</v>
      </c>
      <c r="L112" s="40" t="s">
        <v>211</v>
      </c>
      <c r="O112" s="1">
        <v>125</v>
      </c>
    </row>
    <row r="113" spans="1:15">
      <c r="A113" s="13" t="s">
        <v>364</v>
      </c>
      <c r="B113" s="16" t="s">
        <v>380</v>
      </c>
      <c r="C113" s="40" t="s">
        <v>381</v>
      </c>
      <c r="D113" s="40" t="s">
        <v>343</v>
      </c>
      <c r="E113" s="41">
        <v>41600</v>
      </c>
      <c r="F113" s="42" t="str">
        <f t="shared" si="3"/>
        <v>嵌入型(智慧感應)-全方吹+飾板  2.8kW</v>
      </c>
      <c r="G113" s="43" t="s">
        <v>49</v>
      </c>
      <c r="H113" s="11" t="s">
        <v>1</v>
      </c>
      <c r="I113" s="46" t="s">
        <v>194</v>
      </c>
      <c r="J113" s="42">
        <v>7200</v>
      </c>
      <c r="L113" s="40" t="s">
        <v>212</v>
      </c>
      <c r="O113" s="1">
        <v>25</v>
      </c>
    </row>
    <row r="114" spans="1:15">
      <c r="A114" s="13" t="s">
        <v>364</v>
      </c>
      <c r="B114" s="16" t="s">
        <v>57</v>
      </c>
      <c r="C114" s="40" t="s">
        <v>382</v>
      </c>
      <c r="D114" s="40" t="s">
        <v>343</v>
      </c>
      <c r="E114" s="41">
        <v>43700</v>
      </c>
      <c r="F114" s="42" t="str">
        <f t="shared" si="3"/>
        <v>嵌入型(智慧感應)-全方吹+飾板  3.6kW</v>
      </c>
      <c r="G114" s="43" t="s">
        <v>50</v>
      </c>
      <c r="H114" s="11" t="s">
        <v>1</v>
      </c>
      <c r="I114" s="46" t="s">
        <v>58</v>
      </c>
      <c r="J114" s="42">
        <v>7200</v>
      </c>
      <c r="L114" s="40" t="s">
        <v>212</v>
      </c>
      <c r="O114" s="1">
        <v>31.25</v>
      </c>
    </row>
    <row r="115" spans="1:15">
      <c r="A115" s="13" t="s">
        <v>364</v>
      </c>
      <c r="B115" s="16" t="s">
        <v>57</v>
      </c>
      <c r="C115" s="40" t="s">
        <v>383</v>
      </c>
      <c r="D115" s="40" t="s">
        <v>343</v>
      </c>
      <c r="E115" s="41">
        <v>46100</v>
      </c>
      <c r="F115" s="42" t="str">
        <f t="shared" si="3"/>
        <v>嵌入型(智慧感應)-全方吹+飾板  4.5kW</v>
      </c>
      <c r="G115" s="43" t="s">
        <v>51</v>
      </c>
      <c r="H115" s="11" t="s">
        <v>1</v>
      </c>
      <c r="I115" s="46" t="s">
        <v>58</v>
      </c>
      <c r="J115" s="42">
        <v>7200</v>
      </c>
      <c r="L115" s="40" t="s">
        <v>212</v>
      </c>
      <c r="O115" s="1">
        <v>40</v>
      </c>
    </row>
    <row r="116" spans="1:15">
      <c r="A116" s="13" t="s">
        <v>364</v>
      </c>
      <c r="B116" s="16" t="s">
        <v>57</v>
      </c>
      <c r="C116" s="40" t="s">
        <v>384</v>
      </c>
      <c r="D116" s="40" t="s">
        <v>343</v>
      </c>
      <c r="E116" s="41">
        <v>46800</v>
      </c>
      <c r="F116" s="42" t="str">
        <f t="shared" si="3"/>
        <v>嵌入型(智慧感應)-全方吹+飾板  5.6kW</v>
      </c>
      <c r="G116" s="43" t="s">
        <v>52</v>
      </c>
      <c r="H116" s="11" t="s">
        <v>1</v>
      </c>
      <c r="I116" s="46" t="s">
        <v>58</v>
      </c>
      <c r="J116" s="42">
        <v>7200</v>
      </c>
      <c r="L116" s="40" t="s">
        <v>212</v>
      </c>
      <c r="O116" s="1">
        <v>50</v>
      </c>
    </row>
    <row r="117" spans="1:15">
      <c r="A117" s="13" t="s">
        <v>364</v>
      </c>
      <c r="B117" s="16" t="s">
        <v>57</v>
      </c>
      <c r="C117" s="40" t="s">
        <v>385</v>
      </c>
      <c r="D117" s="40" t="s">
        <v>343</v>
      </c>
      <c r="E117" s="41">
        <v>47500</v>
      </c>
      <c r="F117" s="42" t="str">
        <f t="shared" si="3"/>
        <v>嵌入型(智慧感應)-全方吹+飾板  7.1kW</v>
      </c>
      <c r="G117" s="43" t="s">
        <v>53</v>
      </c>
      <c r="H117" s="11" t="s">
        <v>1</v>
      </c>
      <c r="I117" s="46" t="s">
        <v>58</v>
      </c>
      <c r="J117" s="42">
        <v>7200</v>
      </c>
      <c r="L117" s="40" t="s">
        <v>212</v>
      </c>
      <c r="O117" s="1">
        <v>62.5</v>
      </c>
    </row>
    <row r="118" spans="1:15">
      <c r="A118" s="13" t="s">
        <v>364</v>
      </c>
      <c r="B118" s="16" t="s">
        <v>57</v>
      </c>
      <c r="C118" s="40" t="s">
        <v>386</v>
      </c>
      <c r="D118" s="40" t="s">
        <v>343</v>
      </c>
      <c r="E118" s="41">
        <v>51500</v>
      </c>
      <c r="F118" s="42" t="str">
        <f t="shared" si="3"/>
        <v>嵌入型(智慧感應)-全方吹+飾板  9kW</v>
      </c>
      <c r="G118" s="43" t="s">
        <v>54</v>
      </c>
      <c r="H118" s="11" t="s">
        <v>1</v>
      </c>
      <c r="I118" s="46" t="s">
        <v>194</v>
      </c>
      <c r="J118" s="42">
        <v>7200</v>
      </c>
      <c r="L118" s="40" t="s">
        <v>213</v>
      </c>
      <c r="O118" s="1">
        <v>80</v>
      </c>
    </row>
    <row r="119" spans="1:15">
      <c r="A119" s="13" t="s">
        <v>364</v>
      </c>
      <c r="B119" s="16" t="s">
        <v>57</v>
      </c>
      <c r="C119" s="40" t="s">
        <v>387</v>
      </c>
      <c r="D119" s="40" t="s">
        <v>343</v>
      </c>
      <c r="E119" s="41">
        <v>54700</v>
      </c>
      <c r="F119" s="42" t="str">
        <f t="shared" si="3"/>
        <v>嵌入型(智慧感應)-全方吹+飾板  11.2kW</v>
      </c>
      <c r="G119" s="43" t="s">
        <v>22</v>
      </c>
      <c r="H119" s="11" t="s">
        <v>1</v>
      </c>
      <c r="I119" s="46" t="s">
        <v>58</v>
      </c>
      <c r="J119" s="42">
        <v>7200</v>
      </c>
      <c r="L119" s="40" t="s">
        <v>213</v>
      </c>
      <c r="O119" s="1">
        <v>100</v>
      </c>
    </row>
    <row r="120" spans="1:15">
      <c r="A120" s="13" t="s">
        <v>364</v>
      </c>
      <c r="B120" s="16" t="s">
        <v>57</v>
      </c>
      <c r="C120" s="40" t="s">
        <v>65</v>
      </c>
      <c r="D120" s="40" t="s">
        <v>343</v>
      </c>
      <c r="E120" s="41">
        <v>57900</v>
      </c>
      <c r="F120" s="42" t="str">
        <f t="shared" si="3"/>
        <v>嵌入型(智慧感應)-全方吹+飾板  14kW</v>
      </c>
      <c r="G120" s="43" t="s">
        <v>24</v>
      </c>
      <c r="H120" s="11" t="s">
        <v>1</v>
      </c>
      <c r="I120" s="46" t="s">
        <v>194</v>
      </c>
      <c r="J120" s="42">
        <v>7200</v>
      </c>
      <c r="L120" s="40" t="s">
        <v>213</v>
      </c>
      <c r="O120" s="1">
        <v>125</v>
      </c>
    </row>
    <row r="121" spans="1:15">
      <c r="A121" s="13" t="s">
        <v>364</v>
      </c>
      <c r="B121" s="16" t="s">
        <v>57</v>
      </c>
      <c r="C121" s="40" t="s">
        <v>64</v>
      </c>
      <c r="D121" s="40" t="s">
        <v>343</v>
      </c>
      <c r="E121" s="41">
        <v>67900</v>
      </c>
      <c r="F121" s="42" t="str">
        <f t="shared" si="3"/>
        <v>嵌入型(智慧感應)-全方吹+飾板  16kW</v>
      </c>
      <c r="G121" s="43" t="s">
        <v>59</v>
      </c>
      <c r="H121" s="11" t="s">
        <v>1</v>
      </c>
      <c r="I121" s="46" t="s">
        <v>58</v>
      </c>
      <c r="J121" s="42">
        <v>7200</v>
      </c>
      <c r="L121" s="40" t="s">
        <v>213</v>
      </c>
      <c r="O121" s="1">
        <v>140</v>
      </c>
    </row>
    <row r="122" spans="1:15">
      <c r="A122" s="13" t="s">
        <v>364</v>
      </c>
      <c r="B122" s="17" t="s">
        <v>388</v>
      </c>
      <c r="C122" s="11" t="s">
        <v>389</v>
      </c>
      <c r="D122" s="40" t="s">
        <v>343</v>
      </c>
      <c r="E122" s="41">
        <v>38400</v>
      </c>
      <c r="F122" s="42" t="str">
        <f t="shared" si="3"/>
        <v>嵌入型-全方吹+飾板  2.8kW</v>
      </c>
      <c r="G122" s="43" t="s">
        <v>49</v>
      </c>
      <c r="H122" s="11" t="s">
        <v>1</v>
      </c>
      <c r="I122" s="46" t="s">
        <v>194</v>
      </c>
      <c r="J122" s="42">
        <v>7200</v>
      </c>
      <c r="L122" s="40" t="s">
        <v>212</v>
      </c>
      <c r="O122" s="1">
        <v>25</v>
      </c>
    </row>
    <row r="123" spans="1:15">
      <c r="A123" s="13" t="s">
        <v>364</v>
      </c>
      <c r="B123" s="17" t="s">
        <v>388</v>
      </c>
      <c r="C123" s="40" t="s">
        <v>390</v>
      </c>
      <c r="D123" s="40" t="s">
        <v>343</v>
      </c>
      <c r="E123" s="41">
        <v>39800</v>
      </c>
      <c r="F123" s="42" t="str">
        <f t="shared" si="3"/>
        <v>嵌入型-全方吹+飾板  3.6kW</v>
      </c>
      <c r="G123" s="43" t="s">
        <v>50</v>
      </c>
      <c r="H123" s="11" t="s">
        <v>1</v>
      </c>
      <c r="I123" s="46" t="s">
        <v>58</v>
      </c>
      <c r="J123" s="42">
        <v>7200</v>
      </c>
      <c r="L123" s="40" t="s">
        <v>212</v>
      </c>
      <c r="O123" s="1">
        <v>31.25</v>
      </c>
    </row>
    <row r="124" spans="1:15">
      <c r="A124" s="13" t="s">
        <v>364</v>
      </c>
      <c r="B124" s="17" t="s">
        <v>388</v>
      </c>
      <c r="C124" s="40" t="s">
        <v>60</v>
      </c>
      <c r="D124" s="40" t="s">
        <v>343</v>
      </c>
      <c r="E124" s="41">
        <v>41500</v>
      </c>
      <c r="F124" s="42" t="str">
        <f t="shared" si="3"/>
        <v>嵌入型-全方吹+飾板  4.5kW</v>
      </c>
      <c r="G124" s="43" t="s">
        <v>51</v>
      </c>
      <c r="H124" s="11" t="s">
        <v>1</v>
      </c>
      <c r="I124" s="46" t="s">
        <v>58</v>
      </c>
      <c r="J124" s="42">
        <v>7200</v>
      </c>
      <c r="L124" s="40" t="s">
        <v>212</v>
      </c>
      <c r="O124" s="1">
        <v>40</v>
      </c>
    </row>
    <row r="125" spans="1:15">
      <c r="A125" s="13" t="s">
        <v>364</v>
      </c>
      <c r="B125" s="17" t="s">
        <v>388</v>
      </c>
      <c r="C125" s="40" t="s">
        <v>61</v>
      </c>
      <c r="D125" s="40" t="s">
        <v>343</v>
      </c>
      <c r="E125" s="41">
        <v>42700</v>
      </c>
      <c r="F125" s="42" t="str">
        <f t="shared" si="3"/>
        <v>嵌入型-全方吹+飾板  5.6kW</v>
      </c>
      <c r="G125" s="43" t="s">
        <v>52</v>
      </c>
      <c r="H125" s="11" t="s">
        <v>1</v>
      </c>
      <c r="I125" s="46" t="s">
        <v>194</v>
      </c>
      <c r="J125" s="42">
        <v>7200</v>
      </c>
      <c r="L125" s="40" t="s">
        <v>212</v>
      </c>
      <c r="O125" s="1">
        <v>50</v>
      </c>
    </row>
    <row r="126" spans="1:15">
      <c r="A126" s="13" t="s">
        <v>364</v>
      </c>
      <c r="B126" s="17" t="s">
        <v>388</v>
      </c>
      <c r="C126" s="40" t="s">
        <v>62</v>
      </c>
      <c r="D126" s="40" t="s">
        <v>343</v>
      </c>
      <c r="E126" s="41">
        <v>43800</v>
      </c>
      <c r="F126" s="42" t="str">
        <f t="shared" si="3"/>
        <v>嵌入型-全方吹+飾板  7.1kW</v>
      </c>
      <c r="G126" s="43" t="s">
        <v>53</v>
      </c>
      <c r="H126" s="11" t="s">
        <v>1</v>
      </c>
      <c r="I126" s="46" t="s">
        <v>58</v>
      </c>
      <c r="J126" s="42">
        <v>7200</v>
      </c>
      <c r="L126" s="40" t="s">
        <v>212</v>
      </c>
      <c r="O126" s="1">
        <v>62.5</v>
      </c>
    </row>
    <row r="127" spans="1:15">
      <c r="A127" s="13" t="s">
        <v>364</v>
      </c>
      <c r="B127" s="17" t="s">
        <v>388</v>
      </c>
      <c r="C127" s="40" t="s">
        <v>63</v>
      </c>
      <c r="D127" s="40" t="s">
        <v>343</v>
      </c>
      <c r="E127" s="41">
        <v>48400</v>
      </c>
      <c r="F127" s="42" t="str">
        <f t="shared" si="3"/>
        <v>嵌入型-全方吹+飾板  9kW</v>
      </c>
      <c r="G127" s="43" t="s">
        <v>54</v>
      </c>
      <c r="H127" s="11" t="s">
        <v>1</v>
      </c>
      <c r="I127" s="46" t="s">
        <v>58</v>
      </c>
      <c r="J127" s="42">
        <v>7200</v>
      </c>
      <c r="L127" s="40" t="s">
        <v>212</v>
      </c>
      <c r="O127" s="1">
        <v>80</v>
      </c>
    </row>
    <row r="128" spans="1:15">
      <c r="A128" s="13" t="s">
        <v>364</v>
      </c>
      <c r="B128" s="17" t="s">
        <v>388</v>
      </c>
      <c r="C128" s="40" t="s">
        <v>112</v>
      </c>
      <c r="D128" s="40" t="s">
        <v>343</v>
      </c>
      <c r="E128" s="41">
        <v>51300</v>
      </c>
      <c r="F128" s="42" t="str">
        <f t="shared" si="3"/>
        <v>嵌入型-全方吹+飾板  11.2kW</v>
      </c>
      <c r="G128" s="43" t="s">
        <v>22</v>
      </c>
      <c r="H128" s="11" t="s">
        <v>1</v>
      </c>
      <c r="I128" s="46" t="s">
        <v>58</v>
      </c>
      <c r="J128" s="42">
        <v>7200</v>
      </c>
      <c r="L128" s="51" t="s">
        <v>213</v>
      </c>
      <c r="O128" s="1">
        <v>100</v>
      </c>
    </row>
    <row r="129" spans="1:15">
      <c r="A129" s="13" t="s">
        <v>364</v>
      </c>
      <c r="B129" s="17" t="s">
        <v>388</v>
      </c>
      <c r="C129" s="40" t="s">
        <v>66</v>
      </c>
      <c r="D129" s="40" t="s">
        <v>343</v>
      </c>
      <c r="E129" s="41">
        <v>53900</v>
      </c>
      <c r="F129" s="42" t="str">
        <f t="shared" si="3"/>
        <v>嵌入型-全方吹+飾板  14kW</v>
      </c>
      <c r="G129" s="43" t="s">
        <v>24</v>
      </c>
      <c r="H129" s="11" t="s">
        <v>1</v>
      </c>
      <c r="I129" s="46" t="s">
        <v>194</v>
      </c>
      <c r="J129" s="42">
        <v>7200</v>
      </c>
      <c r="L129" s="40" t="s">
        <v>213</v>
      </c>
      <c r="O129" s="1">
        <v>125</v>
      </c>
    </row>
    <row r="130" spans="1:15">
      <c r="A130" s="13" t="s">
        <v>364</v>
      </c>
      <c r="B130" s="17" t="s">
        <v>388</v>
      </c>
      <c r="C130" s="40" t="s">
        <v>67</v>
      </c>
      <c r="D130" s="40" t="s">
        <v>343</v>
      </c>
      <c r="E130" s="41">
        <v>62800</v>
      </c>
      <c r="F130" s="42" t="str">
        <f t="shared" si="3"/>
        <v>嵌入型-全方吹+飾板  16kW</v>
      </c>
      <c r="G130" s="43" t="s">
        <v>59</v>
      </c>
      <c r="H130" s="11" t="s">
        <v>1</v>
      </c>
      <c r="I130" s="46" t="s">
        <v>58</v>
      </c>
      <c r="J130" s="42">
        <v>7200</v>
      </c>
      <c r="L130" s="40" t="s">
        <v>213</v>
      </c>
      <c r="O130" s="1">
        <v>140</v>
      </c>
    </row>
    <row r="131" spans="1:15">
      <c r="A131" s="13" t="s">
        <v>364</v>
      </c>
      <c r="B131" s="18" t="s">
        <v>441</v>
      </c>
      <c r="C131" s="40" t="s">
        <v>442</v>
      </c>
      <c r="D131" s="40" t="s">
        <v>343</v>
      </c>
      <c r="E131" s="50">
        <v>32900</v>
      </c>
      <c r="F131" s="42" t="str">
        <f t="shared" si="3"/>
        <v>嵌入型-小型多向氣流+飾板  2.2kW</v>
      </c>
      <c r="G131" s="43" t="s">
        <v>48</v>
      </c>
      <c r="H131" s="11" t="s">
        <v>73</v>
      </c>
      <c r="L131" s="40" t="s">
        <v>447</v>
      </c>
      <c r="O131" s="1">
        <v>20</v>
      </c>
    </row>
    <row r="132" spans="1:15">
      <c r="A132" s="13" t="s">
        <v>364</v>
      </c>
      <c r="B132" s="18" t="s">
        <v>441</v>
      </c>
      <c r="C132" s="40" t="s">
        <v>443</v>
      </c>
      <c r="D132" s="40" t="s">
        <v>343</v>
      </c>
      <c r="E132" s="50">
        <v>36900</v>
      </c>
      <c r="F132" s="42" t="str">
        <f t="shared" si="3"/>
        <v>嵌入型-小型多向氣流+飾板  2.8kW</v>
      </c>
      <c r="G132" s="43" t="s">
        <v>49</v>
      </c>
      <c r="H132" s="11" t="s">
        <v>73</v>
      </c>
      <c r="L132" s="40" t="s">
        <v>447</v>
      </c>
      <c r="O132" s="1">
        <v>25</v>
      </c>
    </row>
    <row r="133" spans="1:15">
      <c r="A133" s="13" t="s">
        <v>364</v>
      </c>
      <c r="B133" s="18" t="s">
        <v>441</v>
      </c>
      <c r="C133" s="40" t="s">
        <v>444</v>
      </c>
      <c r="D133" s="40" t="s">
        <v>343</v>
      </c>
      <c r="E133" s="50">
        <v>38300</v>
      </c>
      <c r="F133" s="42" t="str">
        <f t="shared" si="3"/>
        <v>嵌入型-小型多向氣流+飾板  3.6kW</v>
      </c>
      <c r="G133" s="43" t="s">
        <v>50</v>
      </c>
      <c r="H133" s="11" t="s">
        <v>73</v>
      </c>
      <c r="L133" s="40" t="s">
        <v>447</v>
      </c>
      <c r="O133" s="1">
        <v>31.25</v>
      </c>
    </row>
    <row r="134" spans="1:15">
      <c r="A134" s="13" t="s">
        <v>364</v>
      </c>
      <c r="B134" s="18" t="s">
        <v>441</v>
      </c>
      <c r="C134" s="40" t="s">
        <v>445</v>
      </c>
      <c r="D134" s="40" t="s">
        <v>343</v>
      </c>
      <c r="E134" s="50">
        <v>39500</v>
      </c>
      <c r="F134" s="42" t="str">
        <f t="shared" si="3"/>
        <v>嵌入型-小型多向氣流+飾板  4.5kW</v>
      </c>
      <c r="G134" s="43" t="s">
        <v>51</v>
      </c>
      <c r="H134" s="11" t="s">
        <v>73</v>
      </c>
      <c r="L134" s="40" t="s">
        <v>447</v>
      </c>
      <c r="O134" s="1">
        <v>40</v>
      </c>
    </row>
    <row r="135" spans="1:15">
      <c r="A135" s="13" t="s">
        <v>364</v>
      </c>
      <c r="B135" s="18" t="s">
        <v>441</v>
      </c>
      <c r="C135" s="40" t="s">
        <v>446</v>
      </c>
      <c r="D135" s="40" t="s">
        <v>343</v>
      </c>
      <c r="E135" s="50">
        <v>40700</v>
      </c>
      <c r="F135" s="42" t="str">
        <f t="shared" si="3"/>
        <v>嵌入型-小型多向氣流+飾板  5.6kW</v>
      </c>
      <c r="G135" s="43" t="s">
        <v>52</v>
      </c>
      <c r="H135" s="11" t="s">
        <v>73</v>
      </c>
      <c r="L135" s="40" t="s">
        <v>447</v>
      </c>
      <c r="O135" s="1">
        <v>50</v>
      </c>
    </row>
    <row r="136" spans="1:15">
      <c r="A136" s="13" t="s">
        <v>364</v>
      </c>
      <c r="B136" s="12" t="s">
        <v>391</v>
      </c>
      <c r="C136" s="40" t="s">
        <v>392</v>
      </c>
      <c r="D136" s="40" t="s">
        <v>343</v>
      </c>
      <c r="E136" s="41">
        <v>44300</v>
      </c>
      <c r="F136" s="42" t="str">
        <f t="shared" si="3"/>
        <v>天吊型  3.6kW</v>
      </c>
      <c r="G136" s="43" t="s">
        <v>50</v>
      </c>
      <c r="H136" s="11" t="s">
        <v>73</v>
      </c>
      <c r="L136" s="40" t="s">
        <v>214</v>
      </c>
      <c r="O136" s="1">
        <v>31.25</v>
      </c>
    </row>
    <row r="137" spans="1:15">
      <c r="A137" s="13" t="s">
        <v>364</v>
      </c>
      <c r="B137" s="12" t="s">
        <v>391</v>
      </c>
      <c r="C137" s="40" t="s">
        <v>107</v>
      </c>
      <c r="D137" s="40" t="s">
        <v>343</v>
      </c>
      <c r="E137" s="41">
        <v>50300</v>
      </c>
      <c r="F137" s="42" t="str">
        <f t="shared" si="3"/>
        <v>天吊型  7.1kW</v>
      </c>
      <c r="G137" s="43" t="s">
        <v>53</v>
      </c>
      <c r="H137" s="11" t="s">
        <v>73</v>
      </c>
      <c r="L137" s="40" t="s">
        <v>215</v>
      </c>
      <c r="O137" s="1">
        <v>62.5</v>
      </c>
    </row>
    <row r="138" spans="1:15">
      <c r="A138" s="13" t="s">
        <v>364</v>
      </c>
      <c r="B138" s="12" t="s">
        <v>391</v>
      </c>
      <c r="C138" s="40" t="s">
        <v>393</v>
      </c>
      <c r="D138" s="40" t="s">
        <v>343</v>
      </c>
      <c r="E138" s="41">
        <v>58800</v>
      </c>
      <c r="F138" s="42" t="str">
        <f t="shared" si="3"/>
        <v>天吊型  11.2kW</v>
      </c>
      <c r="G138" s="43" t="s">
        <v>22</v>
      </c>
      <c r="H138" s="11" t="s">
        <v>73</v>
      </c>
      <c r="L138" s="40" t="s">
        <v>216</v>
      </c>
      <c r="O138" s="1">
        <v>100</v>
      </c>
    </row>
    <row r="139" spans="1:15">
      <c r="A139" s="13" t="s">
        <v>364</v>
      </c>
      <c r="B139" s="19" t="s">
        <v>394</v>
      </c>
      <c r="C139" s="40" t="s">
        <v>395</v>
      </c>
      <c r="D139" s="40" t="s">
        <v>343</v>
      </c>
      <c r="E139" s="41">
        <v>28000</v>
      </c>
      <c r="F139" s="42" t="str">
        <f t="shared" si="3"/>
        <v>風管-低靜壓(排)  2.2kW</v>
      </c>
      <c r="G139" s="43" t="s">
        <v>101</v>
      </c>
      <c r="H139" s="11" t="s">
        <v>73</v>
      </c>
      <c r="L139" s="40" t="s">
        <v>218</v>
      </c>
      <c r="O139" s="1">
        <v>20</v>
      </c>
    </row>
    <row r="140" spans="1:15">
      <c r="A140" s="13" t="s">
        <v>364</v>
      </c>
      <c r="B140" s="19" t="s">
        <v>394</v>
      </c>
      <c r="C140" s="40" t="s">
        <v>396</v>
      </c>
      <c r="D140" s="40" t="s">
        <v>343</v>
      </c>
      <c r="E140" s="41">
        <v>28900</v>
      </c>
      <c r="F140" s="42" t="str">
        <f t="shared" si="3"/>
        <v>風管-低靜壓(排)  2.8kW</v>
      </c>
      <c r="G140" s="43" t="s">
        <v>49</v>
      </c>
      <c r="H140" s="11" t="s">
        <v>73</v>
      </c>
      <c r="L140" s="40" t="s">
        <v>218</v>
      </c>
      <c r="O140" s="1">
        <v>25</v>
      </c>
    </row>
    <row r="141" spans="1:15">
      <c r="A141" s="13" t="s">
        <v>364</v>
      </c>
      <c r="B141" s="19" t="s">
        <v>394</v>
      </c>
      <c r="C141" s="40" t="s">
        <v>397</v>
      </c>
      <c r="D141" s="40" t="s">
        <v>343</v>
      </c>
      <c r="E141" s="41">
        <v>30500</v>
      </c>
      <c r="F141" s="42" t="str">
        <f t="shared" si="3"/>
        <v>風管-低靜壓(排)  3.6kW</v>
      </c>
      <c r="G141" s="43" t="s">
        <v>50</v>
      </c>
      <c r="H141" s="11" t="s">
        <v>73</v>
      </c>
      <c r="L141" s="40" t="s">
        <v>218</v>
      </c>
      <c r="O141" s="1">
        <v>31.25</v>
      </c>
    </row>
    <row r="142" spans="1:15">
      <c r="A142" s="13" t="s">
        <v>364</v>
      </c>
      <c r="B142" s="19" t="s">
        <v>394</v>
      </c>
      <c r="C142" s="40" t="s">
        <v>105</v>
      </c>
      <c r="D142" s="40" t="s">
        <v>343</v>
      </c>
      <c r="E142" s="41">
        <v>32400</v>
      </c>
      <c r="F142" s="42" t="str">
        <f t="shared" si="3"/>
        <v>風管-低靜壓(排)  4.5kW</v>
      </c>
      <c r="G142" s="43" t="s">
        <v>51</v>
      </c>
      <c r="H142" s="11" t="s">
        <v>73</v>
      </c>
      <c r="L142" s="40" t="s">
        <v>219</v>
      </c>
      <c r="O142" s="1">
        <v>40</v>
      </c>
    </row>
    <row r="143" spans="1:15">
      <c r="A143" s="13" t="s">
        <v>364</v>
      </c>
      <c r="B143" s="19" t="s">
        <v>394</v>
      </c>
      <c r="C143" s="40" t="s">
        <v>93</v>
      </c>
      <c r="D143" s="40" t="s">
        <v>343</v>
      </c>
      <c r="E143" s="41">
        <v>34700</v>
      </c>
      <c r="F143" s="42" t="str">
        <f t="shared" si="3"/>
        <v>風管-低靜壓(排)  5.6kW</v>
      </c>
      <c r="G143" s="43" t="s">
        <v>52</v>
      </c>
      <c r="H143" s="11" t="s">
        <v>73</v>
      </c>
      <c r="L143" s="40" t="s">
        <v>219</v>
      </c>
      <c r="O143" s="1">
        <v>50</v>
      </c>
    </row>
    <row r="144" spans="1:15">
      <c r="A144" s="13" t="s">
        <v>364</v>
      </c>
      <c r="B144" s="19" t="s">
        <v>394</v>
      </c>
      <c r="C144" s="40" t="s">
        <v>106</v>
      </c>
      <c r="D144" s="40" t="s">
        <v>343</v>
      </c>
      <c r="E144" s="41">
        <v>37100</v>
      </c>
      <c r="F144" s="42" t="str">
        <f t="shared" si="3"/>
        <v>風管-低靜壓(排)  7.1kW</v>
      </c>
      <c r="G144" s="43" t="s">
        <v>53</v>
      </c>
      <c r="H144" s="11" t="s">
        <v>73</v>
      </c>
      <c r="L144" s="40" t="s">
        <v>220</v>
      </c>
      <c r="O144" s="1">
        <v>62.5</v>
      </c>
    </row>
    <row r="145" spans="1:15">
      <c r="A145" s="13" t="s">
        <v>364</v>
      </c>
      <c r="B145" s="20" t="s">
        <v>398</v>
      </c>
      <c r="C145" s="40" t="s">
        <v>108</v>
      </c>
      <c r="D145" s="40" t="s">
        <v>343</v>
      </c>
      <c r="E145" s="41">
        <v>25200</v>
      </c>
      <c r="F145" s="42" t="str">
        <f t="shared" si="3"/>
        <v>風管-低靜壓  2.2kW</v>
      </c>
      <c r="G145" s="43" t="s">
        <v>48</v>
      </c>
      <c r="H145" s="11" t="s">
        <v>73</v>
      </c>
      <c r="L145" s="40" t="s">
        <v>218</v>
      </c>
      <c r="O145" s="1">
        <v>20</v>
      </c>
    </row>
    <row r="146" spans="1:15">
      <c r="A146" s="13" t="s">
        <v>364</v>
      </c>
      <c r="B146" s="20" t="s">
        <v>398</v>
      </c>
      <c r="C146" s="40" t="s">
        <v>111</v>
      </c>
      <c r="D146" s="40" t="s">
        <v>343</v>
      </c>
      <c r="E146" s="41">
        <v>26200</v>
      </c>
      <c r="F146" s="42" t="str">
        <f t="shared" si="3"/>
        <v>風管-低靜壓  2.8kW</v>
      </c>
      <c r="G146" s="43" t="s">
        <v>49</v>
      </c>
      <c r="H146" s="11" t="s">
        <v>73</v>
      </c>
      <c r="L146" s="40" t="s">
        <v>218</v>
      </c>
      <c r="O146" s="1">
        <v>25</v>
      </c>
    </row>
    <row r="147" spans="1:15">
      <c r="A147" s="13" t="s">
        <v>364</v>
      </c>
      <c r="B147" s="20" t="s">
        <v>398</v>
      </c>
      <c r="C147" s="40" t="s">
        <v>71</v>
      </c>
      <c r="D147" s="40" t="s">
        <v>343</v>
      </c>
      <c r="E147" s="41">
        <v>27700</v>
      </c>
      <c r="F147" s="42" t="str">
        <f t="shared" si="3"/>
        <v>風管-低靜壓  3.6kW</v>
      </c>
      <c r="G147" s="43" t="s">
        <v>50</v>
      </c>
      <c r="H147" s="11" t="s">
        <v>73</v>
      </c>
      <c r="L147" s="40" t="s">
        <v>218</v>
      </c>
      <c r="O147" s="1">
        <v>31.25</v>
      </c>
    </row>
    <row r="148" spans="1:15">
      <c r="A148" s="13" t="s">
        <v>364</v>
      </c>
      <c r="B148" s="20" t="s">
        <v>398</v>
      </c>
      <c r="C148" s="40" t="s">
        <v>72</v>
      </c>
      <c r="D148" s="40" t="s">
        <v>343</v>
      </c>
      <c r="E148" s="41">
        <v>29600</v>
      </c>
      <c r="F148" s="42" t="str">
        <f t="shared" si="3"/>
        <v>風管-低靜壓  4.5kW</v>
      </c>
      <c r="G148" s="43" t="s">
        <v>51</v>
      </c>
      <c r="H148" s="11" t="s">
        <v>73</v>
      </c>
      <c r="L148" s="40" t="s">
        <v>219</v>
      </c>
      <c r="O148" s="1">
        <v>40</v>
      </c>
    </row>
    <row r="149" spans="1:15">
      <c r="A149" s="13" t="s">
        <v>364</v>
      </c>
      <c r="B149" s="20" t="s">
        <v>398</v>
      </c>
      <c r="C149" s="40" t="s">
        <v>109</v>
      </c>
      <c r="D149" s="40" t="s">
        <v>343</v>
      </c>
      <c r="E149" s="41">
        <v>31800</v>
      </c>
      <c r="F149" s="42" t="str">
        <f t="shared" si="3"/>
        <v>風管-低靜壓  5.6kW</v>
      </c>
      <c r="G149" s="43" t="s">
        <v>52</v>
      </c>
      <c r="H149" s="11" t="s">
        <v>73</v>
      </c>
      <c r="L149" s="40" t="s">
        <v>219</v>
      </c>
      <c r="O149" s="1">
        <v>50</v>
      </c>
    </row>
    <row r="150" spans="1:15">
      <c r="A150" s="13" t="s">
        <v>364</v>
      </c>
      <c r="B150" s="20" t="s">
        <v>398</v>
      </c>
      <c r="C150" s="11" t="s">
        <v>110</v>
      </c>
      <c r="D150" s="40" t="s">
        <v>343</v>
      </c>
      <c r="E150" s="41">
        <v>34200</v>
      </c>
      <c r="F150" s="42" t="str">
        <f t="shared" si="3"/>
        <v>風管-低靜壓  7.1kW</v>
      </c>
      <c r="G150" s="43" t="s">
        <v>53</v>
      </c>
      <c r="H150" s="11" t="s">
        <v>73</v>
      </c>
      <c r="L150" s="40" t="s">
        <v>220</v>
      </c>
      <c r="O150" s="1">
        <v>62.5</v>
      </c>
    </row>
    <row r="151" spans="1:15">
      <c r="A151" s="13" t="s">
        <v>364</v>
      </c>
      <c r="B151" s="21" t="s">
        <v>81</v>
      </c>
      <c r="C151" s="40" t="s">
        <v>74</v>
      </c>
      <c r="D151" s="40" t="s">
        <v>343</v>
      </c>
      <c r="E151" s="41">
        <v>33800</v>
      </c>
      <c r="F151" s="42" t="str">
        <f t="shared" si="3"/>
        <v>風管-中靜壓(排)  2.2kW</v>
      </c>
      <c r="G151" s="43" t="s">
        <v>48</v>
      </c>
      <c r="H151" s="11" t="s">
        <v>174</v>
      </c>
      <c r="L151" s="40" t="s">
        <v>221</v>
      </c>
      <c r="O151" s="1">
        <v>20</v>
      </c>
    </row>
    <row r="152" spans="1:15">
      <c r="A152" s="13" t="s">
        <v>364</v>
      </c>
      <c r="B152" s="21" t="s">
        <v>81</v>
      </c>
      <c r="C152" s="40" t="s">
        <v>75</v>
      </c>
      <c r="D152" s="40" t="s">
        <v>343</v>
      </c>
      <c r="E152" s="41">
        <v>35100</v>
      </c>
      <c r="F152" s="42" t="str">
        <f t="shared" si="3"/>
        <v>風管-中靜壓(排)  2.8kW</v>
      </c>
      <c r="G152" s="43" t="s">
        <v>49</v>
      </c>
      <c r="H152" s="11" t="s">
        <v>174</v>
      </c>
      <c r="L152" s="40" t="s">
        <v>221</v>
      </c>
      <c r="O152" s="1">
        <v>25</v>
      </c>
    </row>
    <row r="153" spans="1:15">
      <c r="A153" s="13" t="s">
        <v>364</v>
      </c>
      <c r="B153" s="21" t="s">
        <v>81</v>
      </c>
      <c r="C153" s="40" t="s">
        <v>76</v>
      </c>
      <c r="D153" s="40" t="s">
        <v>343</v>
      </c>
      <c r="E153" s="41">
        <v>36200</v>
      </c>
      <c r="F153" s="42" t="str">
        <f t="shared" si="3"/>
        <v>風管-中靜壓(排)  3.6kW</v>
      </c>
      <c r="G153" s="43" t="s">
        <v>50</v>
      </c>
      <c r="H153" s="11" t="s">
        <v>174</v>
      </c>
      <c r="L153" s="40" t="s">
        <v>221</v>
      </c>
      <c r="O153" s="1">
        <v>31.25</v>
      </c>
    </row>
    <row r="154" spans="1:15">
      <c r="A154" s="13" t="s">
        <v>364</v>
      </c>
      <c r="B154" s="21" t="s">
        <v>81</v>
      </c>
      <c r="C154" s="40" t="s">
        <v>77</v>
      </c>
      <c r="D154" s="40" t="s">
        <v>343</v>
      </c>
      <c r="E154" s="41">
        <v>38000</v>
      </c>
      <c r="F154" s="42" t="str">
        <f t="shared" si="3"/>
        <v>風管-中靜壓(排)  4.5kW</v>
      </c>
      <c r="G154" s="43" t="s">
        <v>51</v>
      </c>
      <c r="H154" s="11" t="s">
        <v>175</v>
      </c>
      <c r="L154" s="40" t="s">
        <v>222</v>
      </c>
      <c r="O154" s="1">
        <v>40</v>
      </c>
    </row>
    <row r="155" spans="1:15">
      <c r="A155" s="13" t="s">
        <v>364</v>
      </c>
      <c r="B155" s="21" t="s">
        <v>81</v>
      </c>
      <c r="C155" s="40" t="s">
        <v>78</v>
      </c>
      <c r="D155" s="40" t="s">
        <v>343</v>
      </c>
      <c r="E155" s="41">
        <v>39100</v>
      </c>
      <c r="F155" s="42" t="str">
        <f t="shared" si="3"/>
        <v>風管-中靜壓(排)  5.6kW</v>
      </c>
      <c r="G155" s="43" t="s">
        <v>52</v>
      </c>
      <c r="H155" s="11" t="s">
        <v>176</v>
      </c>
      <c r="L155" s="40" t="s">
        <v>222</v>
      </c>
      <c r="O155" s="1">
        <v>50</v>
      </c>
    </row>
    <row r="156" spans="1:15">
      <c r="A156" s="13" t="s">
        <v>364</v>
      </c>
      <c r="B156" s="21" t="s">
        <v>81</v>
      </c>
      <c r="C156" s="40" t="s">
        <v>79</v>
      </c>
      <c r="D156" s="40" t="s">
        <v>343</v>
      </c>
      <c r="E156" s="41">
        <v>42700</v>
      </c>
      <c r="F156" s="42" t="str">
        <f t="shared" si="3"/>
        <v>風管-中靜壓(排)  7.1kW</v>
      </c>
      <c r="G156" s="43" t="s">
        <v>53</v>
      </c>
      <c r="H156" s="11" t="s">
        <v>176</v>
      </c>
      <c r="L156" s="40" t="s">
        <v>223</v>
      </c>
      <c r="O156" s="1">
        <v>62.5</v>
      </c>
    </row>
    <row r="157" spans="1:15">
      <c r="A157" s="13" t="s">
        <v>364</v>
      </c>
      <c r="B157" s="21" t="s">
        <v>81</v>
      </c>
      <c r="C157" s="40" t="s">
        <v>92</v>
      </c>
      <c r="D157" s="40" t="s">
        <v>343</v>
      </c>
      <c r="E157" s="41">
        <v>47300</v>
      </c>
      <c r="F157" s="42" t="str">
        <f t="shared" si="3"/>
        <v>風管-中靜壓(排)  9kW</v>
      </c>
      <c r="G157" s="43" t="s">
        <v>54</v>
      </c>
      <c r="H157" s="11" t="s">
        <v>176</v>
      </c>
      <c r="L157" s="40" t="s">
        <v>223</v>
      </c>
      <c r="O157" s="1">
        <v>80</v>
      </c>
    </row>
    <row r="158" spans="1:15">
      <c r="A158" s="13" t="s">
        <v>364</v>
      </c>
      <c r="B158" s="21" t="s">
        <v>81</v>
      </c>
      <c r="C158" s="40" t="s">
        <v>94</v>
      </c>
      <c r="D158" s="40" t="s">
        <v>343</v>
      </c>
      <c r="E158" s="41">
        <v>50200</v>
      </c>
      <c r="F158" s="42" t="str">
        <f t="shared" si="3"/>
        <v>風管-中靜壓(排)  11.2kW</v>
      </c>
      <c r="G158" s="43" t="s">
        <v>22</v>
      </c>
      <c r="H158" s="11" t="s">
        <v>177</v>
      </c>
      <c r="L158" s="40" t="s">
        <v>224</v>
      </c>
      <c r="O158" s="1">
        <v>100</v>
      </c>
    </row>
    <row r="159" spans="1:15">
      <c r="A159" s="13" t="s">
        <v>364</v>
      </c>
      <c r="B159" s="21" t="s">
        <v>81</v>
      </c>
      <c r="C159" s="40" t="s">
        <v>95</v>
      </c>
      <c r="D159" s="40" t="s">
        <v>343</v>
      </c>
      <c r="E159" s="41">
        <v>52800</v>
      </c>
      <c r="F159" s="42" t="str">
        <f t="shared" si="3"/>
        <v>風管-中靜壓(排)  14kW</v>
      </c>
      <c r="G159" s="43" t="s">
        <v>24</v>
      </c>
      <c r="H159" s="11" t="s">
        <v>177</v>
      </c>
      <c r="L159" s="40" t="s">
        <v>224</v>
      </c>
      <c r="O159" s="1">
        <v>125</v>
      </c>
    </row>
    <row r="160" spans="1:15">
      <c r="A160" s="13" t="s">
        <v>364</v>
      </c>
      <c r="B160" s="21" t="s">
        <v>81</v>
      </c>
      <c r="C160" s="40" t="s">
        <v>80</v>
      </c>
      <c r="D160" s="40" t="s">
        <v>343</v>
      </c>
      <c r="E160" s="41">
        <v>61700</v>
      </c>
      <c r="F160" s="42" t="str">
        <f t="shared" si="3"/>
        <v>風管-中靜壓(排)  16kW</v>
      </c>
      <c r="G160" s="43" t="s">
        <v>30</v>
      </c>
      <c r="H160" s="11" t="s">
        <v>178</v>
      </c>
      <c r="L160" s="40" t="s">
        <v>225</v>
      </c>
      <c r="O160" s="1">
        <v>140</v>
      </c>
    </row>
    <row r="161" spans="1:15">
      <c r="A161" s="13" t="s">
        <v>364</v>
      </c>
      <c r="B161" s="22" t="s">
        <v>399</v>
      </c>
      <c r="C161" s="40" t="s">
        <v>82</v>
      </c>
      <c r="D161" s="40" t="s">
        <v>343</v>
      </c>
      <c r="E161" s="41">
        <v>35000</v>
      </c>
      <c r="F161" s="42" t="str">
        <f t="shared" si="3"/>
        <v>風管-中高靜壓(排)  2.2kW</v>
      </c>
      <c r="G161" s="43" t="s">
        <v>48</v>
      </c>
      <c r="H161" s="11" t="s">
        <v>7</v>
      </c>
      <c r="L161" s="40" t="s">
        <v>226</v>
      </c>
      <c r="O161" s="1">
        <v>20</v>
      </c>
    </row>
    <row r="162" spans="1:15">
      <c r="A162" s="13" t="s">
        <v>364</v>
      </c>
      <c r="B162" s="22" t="s">
        <v>399</v>
      </c>
      <c r="C162" s="40" t="s">
        <v>83</v>
      </c>
      <c r="D162" s="40" t="s">
        <v>343</v>
      </c>
      <c r="E162" s="41">
        <v>36100</v>
      </c>
      <c r="F162" s="42" t="str">
        <f t="shared" si="3"/>
        <v>風管-中高靜壓(排)  2.8kW</v>
      </c>
      <c r="G162" s="43" t="s">
        <v>49</v>
      </c>
      <c r="H162" s="11" t="s">
        <v>7</v>
      </c>
      <c r="L162" s="40" t="s">
        <v>226</v>
      </c>
      <c r="O162" s="1">
        <v>25</v>
      </c>
    </row>
    <row r="163" spans="1:15">
      <c r="A163" s="13" t="s">
        <v>364</v>
      </c>
      <c r="B163" s="22" t="s">
        <v>399</v>
      </c>
      <c r="C163" s="40" t="s">
        <v>84</v>
      </c>
      <c r="D163" s="40" t="s">
        <v>343</v>
      </c>
      <c r="E163" s="41">
        <v>37300</v>
      </c>
      <c r="F163" s="42" t="str">
        <f t="shared" si="3"/>
        <v>風管-中高靜壓(排)  3.6kW</v>
      </c>
      <c r="G163" s="43" t="s">
        <v>50</v>
      </c>
      <c r="H163" s="11" t="s">
        <v>7</v>
      </c>
      <c r="L163" s="40" t="s">
        <v>226</v>
      </c>
      <c r="O163" s="1">
        <v>31.25</v>
      </c>
    </row>
    <row r="164" spans="1:15">
      <c r="A164" s="13" t="s">
        <v>364</v>
      </c>
      <c r="B164" s="22" t="s">
        <v>399</v>
      </c>
      <c r="C164" s="40" t="s">
        <v>85</v>
      </c>
      <c r="D164" s="40" t="s">
        <v>343</v>
      </c>
      <c r="E164" s="41">
        <v>39100</v>
      </c>
      <c r="F164" s="42" t="str">
        <f t="shared" si="3"/>
        <v>風管-中高靜壓(排)  4.5kW</v>
      </c>
      <c r="G164" s="43" t="s">
        <v>51</v>
      </c>
      <c r="H164" s="11" t="s">
        <v>8</v>
      </c>
      <c r="L164" s="40" t="s">
        <v>227</v>
      </c>
      <c r="O164" s="1">
        <v>40</v>
      </c>
    </row>
    <row r="165" spans="1:15">
      <c r="A165" s="13" t="s">
        <v>364</v>
      </c>
      <c r="B165" s="22" t="s">
        <v>399</v>
      </c>
      <c r="C165" s="40" t="s">
        <v>86</v>
      </c>
      <c r="D165" s="40" t="s">
        <v>343</v>
      </c>
      <c r="E165" s="41">
        <v>40100</v>
      </c>
      <c r="F165" s="42" t="str">
        <f t="shared" si="3"/>
        <v>風管-中高靜壓(排)  5.6kW</v>
      </c>
      <c r="G165" s="43" t="s">
        <v>52</v>
      </c>
      <c r="H165" s="11" t="s">
        <v>9</v>
      </c>
      <c r="L165" s="40" t="s">
        <v>228</v>
      </c>
      <c r="O165" s="1">
        <v>50</v>
      </c>
    </row>
    <row r="166" spans="1:15">
      <c r="A166" s="13" t="s">
        <v>364</v>
      </c>
      <c r="B166" s="22" t="s">
        <v>399</v>
      </c>
      <c r="C166" s="40" t="s">
        <v>90</v>
      </c>
      <c r="D166" s="40" t="s">
        <v>343</v>
      </c>
      <c r="E166" s="41">
        <v>43700</v>
      </c>
      <c r="F166" s="42" t="str">
        <f t="shared" si="3"/>
        <v>風管-中高靜壓(排)  7.1kW</v>
      </c>
      <c r="G166" s="43" t="s">
        <v>53</v>
      </c>
      <c r="H166" s="11" t="s">
        <v>9</v>
      </c>
      <c r="L166" s="40" t="s">
        <v>228</v>
      </c>
      <c r="O166" s="1">
        <v>62.5</v>
      </c>
    </row>
    <row r="167" spans="1:15">
      <c r="A167" s="13" t="s">
        <v>364</v>
      </c>
      <c r="B167" s="22" t="s">
        <v>399</v>
      </c>
      <c r="C167" s="40" t="s">
        <v>87</v>
      </c>
      <c r="D167" s="40" t="s">
        <v>343</v>
      </c>
      <c r="E167" s="41">
        <v>48300</v>
      </c>
      <c r="F167" s="42" t="str">
        <f t="shared" si="3"/>
        <v>風管-中高靜壓(排)  9kW</v>
      </c>
      <c r="G167" s="43" t="s">
        <v>54</v>
      </c>
      <c r="H167" s="11" t="s">
        <v>17</v>
      </c>
      <c r="L167" s="40" t="s">
        <v>228</v>
      </c>
      <c r="O167" s="1">
        <v>80</v>
      </c>
    </row>
    <row r="168" spans="1:15">
      <c r="A168" s="13" t="s">
        <v>364</v>
      </c>
      <c r="B168" s="22" t="s">
        <v>399</v>
      </c>
      <c r="C168" s="40" t="s">
        <v>91</v>
      </c>
      <c r="D168" s="40" t="s">
        <v>343</v>
      </c>
      <c r="E168" s="41">
        <v>51300</v>
      </c>
      <c r="F168" s="42" t="str">
        <f t="shared" ref="F168:F230" si="4">B168&amp;"  "&amp;G168</f>
        <v>風管-中高靜壓(排)  11.2kW</v>
      </c>
      <c r="G168" s="43" t="s">
        <v>22</v>
      </c>
      <c r="H168" s="11" t="s">
        <v>10</v>
      </c>
      <c r="J168" s="47"/>
      <c r="L168" s="40" t="s">
        <v>229</v>
      </c>
      <c r="O168" s="1">
        <v>100</v>
      </c>
    </row>
    <row r="169" spans="1:15">
      <c r="A169" s="13" t="s">
        <v>364</v>
      </c>
      <c r="B169" s="22" t="s">
        <v>399</v>
      </c>
      <c r="C169" s="40" t="s">
        <v>88</v>
      </c>
      <c r="D169" s="40" t="s">
        <v>343</v>
      </c>
      <c r="E169" s="41">
        <v>53800</v>
      </c>
      <c r="F169" s="42" t="str">
        <f t="shared" si="4"/>
        <v>風管-中高靜壓(排)  14kW</v>
      </c>
      <c r="G169" s="43" t="s">
        <v>24</v>
      </c>
      <c r="H169" s="11" t="s">
        <v>10</v>
      </c>
      <c r="L169" s="40" t="s">
        <v>229</v>
      </c>
      <c r="O169" s="1">
        <v>125</v>
      </c>
    </row>
    <row r="170" spans="1:15">
      <c r="A170" s="13" t="s">
        <v>364</v>
      </c>
      <c r="B170" s="22" t="s">
        <v>399</v>
      </c>
      <c r="C170" s="11" t="s">
        <v>89</v>
      </c>
      <c r="D170" s="40" t="s">
        <v>343</v>
      </c>
      <c r="E170" s="41">
        <v>62800</v>
      </c>
      <c r="F170" s="42" t="str">
        <f t="shared" si="4"/>
        <v>風管-中高靜壓(排)  16kW</v>
      </c>
      <c r="G170" s="43" t="s">
        <v>30</v>
      </c>
      <c r="H170" s="11" t="s">
        <v>10</v>
      </c>
      <c r="L170" s="40" t="s">
        <v>229</v>
      </c>
      <c r="O170" s="1">
        <v>140</v>
      </c>
    </row>
    <row r="171" spans="1:15">
      <c r="A171" s="13" t="s">
        <v>364</v>
      </c>
      <c r="B171" s="9" t="s">
        <v>400</v>
      </c>
      <c r="C171" s="40" t="s">
        <v>193</v>
      </c>
      <c r="D171" s="40" t="s">
        <v>343</v>
      </c>
      <c r="E171" s="41">
        <v>91800</v>
      </c>
      <c r="F171" s="42" t="str">
        <f t="shared" si="4"/>
        <v>風管-中高靜壓  22.4kW</v>
      </c>
      <c r="G171" s="43" t="s">
        <v>25</v>
      </c>
      <c r="H171" s="11" t="s">
        <v>263</v>
      </c>
      <c r="I171" s="11"/>
      <c r="L171" s="40" t="s">
        <v>217</v>
      </c>
      <c r="O171" s="1">
        <v>200</v>
      </c>
    </row>
    <row r="172" spans="1:15">
      <c r="A172" s="13" t="s">
        <v>364</v>
      </c>
      <c r="B172" s="9" t="s">
        <v>400</v>
      </c>
      <c r="C172" s="40" t="s">
        <v>192</v>
      </c>
      <c r="D172" s="40" t="s">
        <v>343</v>
      </c>
      <c r="E172" s="41">
        <v>97000</v>
      </c>
      <c r="F172" s="42" t="str">
        <f t="shared" si="4"/>
        <v>風管-中高靜壓  28kW</v>
      </c>
      <c r="G172" s="43" t="s">
        <v>31</v>
      </c>
      <c r="H172" s="11" t="s">
        <v>263</v>
      </c>
      <c r="I172" s="11"/>
      <c r="L172" s="40" t="s">
        <v>217</v>
      </c>
      <c r="O172" s="1">
        <v>250</v>
      </c>
    </row>
    <row r="173" spans="1:15">
      <c r="A173" s="13" t="s">
        <v>364</v>
      </c>
      <c r="B173" s="9" t="s">
        <v>452</v>
      </c>
      <c r="C173" s="40" t="s">
        <v>453</v>
      </c>
      <c r="D173" s="40" t="s">
        <v>343</v>
      </c>
      <c r="E173" s="41">
        <v>109000</v>
      </c>
      <c r="F173" s="42" t="str">
        <f>B173&amp;"  "&amp;G173</f>
        <v>風管-中高靜壓(DC馬達)  22.4kW</v>
      </c>
      <c r="G173" s="43" t="s">
        <v>25</v>
      </c>
      <c r="H173" s="11" t="s">
        <v>263</v>
      </c>
      <c r="I173" s="11"/>
      <c r="L173" s="40" t="s">
        <v>217</v>
      </c>
      <c r="O173" s="1">
        <v>200</v>
      </c>
    </row>
    <row r="174" spans="1:15">
      <c r="A174" s="13" t="s">
        <v>364</v>
      </c>
      <c r="B174" s="9" t="s">
        <v>452</v>
      </c>
      <c r="C174" s="40" t="s">
        <v>454</v>
      </c>
      <c r="D174" s="40" t="s">
        <v>343</v>
      </c>
      <c r="E174" s="41">
        <v>115000</v>
      </c>
      <c r="F174" s="42" t="str">
        <f>B174&amp;"  "&amp;G174</f>
        <v>風管-中高靜壓(DC馬達)  28kW</v>
      </c>
      <c r="G174" s="43" t="s">
        <v>31</v>
      </c>
      <c r="H174" s="11" t="s">
        <v>263</v>
      </c>
      <c r="I174" s="11"/>
      <c r="L174" s="40" t="s">
        <v>217</v>
      </c>
      <c r="O174" s="1">
        <v>250</v>
      </c>
    </row>
    <row r="175" spans="1:15">
      <c r="A175" s="13" t="s">
        <v>364</v>
      </c>
      <c r="B175" s="23" t="s">
        <v>401</v>
      </c>
      <c r="C175" s="40" t="s">
        <v>280</v>
      </c>
      <c r="D175" s="40" t="s">
        <v>343</v>
      </c>
      <c r="E175" s="41">
        <v>33300</v>
      </c>
      <c r="F175" s="42" t="str">
        <f t="shared" si="4"/>
        <v>壁掛型  2.2kW</v>
      </c>
      <c r="G175" s="43" t="s">
        <v>48</v>
      </c>
      <c r="H175" s="11" t="s">
        <v>449</v>
      </c>
      <c r="L175" s="40" t="s">
        <v>318</v>
      </c>
      <c r="O175" s="1">
        <v>20</v>
      </c>
    </row>
    <row r="176" spans="1:15">
      <c r="A176" s="13" t="s">
        <v>364</v>
      </c>
      <c r="B176" s="23" t="s">
        <v>401</v>
      </c>
      <c r="C176" s="40" t="s">
        <v>281</v>
      </c>
      <c r="D176" s="40" t="s">
        <v>343</v>
      </c>
      <c r="E176" s="41">
        <v>34400</v>
      </c>
      <c r="F176" s="42" t="str">
        <f t="shared" si="4"/>
        <v>壁掛型  2.8kW</v>
      </c>
      <c r="G176" s="43" t="s">
        <v>49</v>
      </c>
      <c r="H176" s="11" t="s">
        <v>448</v>
      </c>
      <c r="L176" s="40" t="s">
        <v>318</v>
      </c>
      <c r="O176" s="1">
        <v>25</v>
      </c>
    </row>
    <row r="177" spans="1:15" ht="15.75" customHeight="1">
      <c r="A177" s="13" t="s">
        <v>364</v>
      </c>
      <c r="B177" s="23" t="s">
        <v>401</v>
      </c>
      <c r="C177" s="40" t="s">
        <v>282</v>
      </c>
      <c r="D177" s="40" t="s">
        <v>343</v>
      </c>
      <c r="E177" s="41">
        <v>35500</v>
      </c>
      <c r="F177" s="42" t="str">
        <f t="shared" si="4"/>
        <v>壁掛型  3.6kW</v>
      </c>
      <c r="G177" s="43" t="s">
        <v>50</v>
      </c>
      <c r="H177" s="11" t="s">
        <v>448</v>
      </c>
      <c r="L177" s="40" t="s">
        <v>318</v>
      </c>
      <c r="O177" s="1">
        <v>31.25</v>
      </c>
    </row>
    <row r="178" spans="1:15">
      <c r="A178" s="13" t="s">
        <v>364</v>
      </c>
      <c r="B178" s="23" t="s">
        <v>401</v>
      </c>
      <c r="C178" s="40" t="s">
        <v>402</v>
      </c>
      <c r="D178" s="40" t="s">
        <v>343</v>
      </c>
      <c r="E178" s="41">
        <v>35800</v>
      </c>
      <c r="F178" s="42" t="str">
        <f t="shared" si="4"/>
        <v>壁掛型  4.5kW</v>
      </c>
      <c r="G178" s="43" t="s">
        <v>51</v>
      </c>
      <c r="H178" s="11" t="s">
        <v>448</v>
      </c>
      <c r="L178" s="40" t="s">
        <v>319</v>
      </c>
      <c r="O178" s="1">
        <v>40</v>
      </c>
    </row>
    <row r="179" spans="1:15">
      <c r="A179" s="13" t="s">
        <v>364</v>
      </c>
      <c r="B179" s="23" t="s">
        <v>401</v>
      </c>
      <c r="C179" s="40" t="s">
        <v>283</v>
      </c>
      <c r="D179" s="40" t="s">
        <v>343</v>
      </c>
      <c r="E179" s="41">
        <v>36000</v>
      </c>
      <c r="F179" s="42" t="str">
        <f t="shared" si="4"/>
        <v>壁掛型  5.6kW</v>
      </c>
      <c r="G179" s="43" t="s">
        <v>52</v>
      </c>
      <c r="H179" s="11" t="s">
        <v>448</v>
      </c>
      <c r="L179" s="40" t="s">
        <v>319</v>
      </c>
      <c r="O179" s="1">
        <v>50</v>
      </c>
    </row>
    <row r="180" spans="1:15">
      <c r="A180" s="13" t="s">
        <v>364</v>
      </c>
      <c r="B180" s="23" t="s">
        <v>401</v>
      </c>
      <c r="C180" s="40" t="s">
        <v>284</v>
      </c>
      <c r="D180" s="40" t="s">
        <v>343</v>
      </c>
      <c r="E180" s="41">
        <v>41100</v>
      </c>
      <c r="F180" s="42" t="str">
        <f t="shared" si="4"/>
        <v>壁掛型  7.1kW</v>
      </c>
      <c r="G180" s="43" t="s">
        <v>53</v>
      </c>
      <c r="H180" s="11" t="s">
        <v>448</v>
      </c>
      <c r="L180" s="40" t="s">
        <v>319</v>
      </c>
      <c r="O180" s="1">
        <v>62.5</v>
      </c>
    </row>
    <row r="181" spans="1:15">
      <c r="A181" s="24" t="s">
        <v>403</v>
      </c>
      <c r="B181" s="23" t="s">
        <v>404</v>
      </c>
      <c r="C181" s="40" t="s">
        <v>335</v>
      </c>
      <c r="D181" s="40" t="s">
        <v>343</v>
      </c>
      <c r="E181" s="41">
        <v>21760</v>
      </c>
      <c r="F181" s="42" t="str">
        <f t="shared" si="4"/>
        <v>壁掛型歐風  2.5kW</v>
      </c>
      <c r="G181" s="43" t="s">
        <v>98</v>
      </c>
      <c r="L181" s="40" t="s">
        <v>196</v>
      </c>
    </row>
    <row r="182" spans="1:15">
      <c r="A182" s="24" t="s">
        <v>403</v>
      </c>
      <c r="B182" s="23" t="s">
        <v>404</v>
      </c>
      <c r="C182" s="40" t="s">
        <v>405</v>
      </c>
      <c r="D182" s="40" t="s">
        <v>343</v>
      </c>
      <c r="E182" s="41">
        <v>29620</v>
      </c>
      <c r="F182" s="42" t="str">
        <f t="shared" si="4"/>
        <v>壁掛型歐風  4.1kW</v>
      </c>
      <c r="G182" s="43" t="s">
        <v>100</v>
      </c>
      <c r="L182" s="40" t="s">
        <v>196</v>
      </c>
    </row>
    <row r="183" spans="1:15">
      <c r="A183" s="24" t="s">
        <v>403</v>
      </c>
      <c r="B183" s="23" t="s">
        <v>401</v>
      </c>
      <c r="C183" s="40" t="s">
        <v>279</v>
      </c>
      <c r="D183" s="40" t="s">
        <v>343</v>
      </c>
      <c r="E183" s="41">
        <v>12460</v>
      </c>
      <c r="F183" s="42" t="str">
        <f t="shared" si="4"/>
        <v>壁掛型  2.0kW</v>
      </c>
      <c r="G183" s="43" t="s">
        <v>182</v>
      </c>
      <c r="H183" s="11" t="s">
        <v>0</v>
      </c>
      <c r="L183" s="40" t="s">
        <v>230</v>
      </c>
    </row>
    <row r="184" spans="1:15">
      <c r="A184" s="24" t="s">
        <v>403</v>
      </c>
      <c r="B184" s="23" t="s">
        <v>401</v>
      </c>
      <c r="C184" s="40" t="s">
        <v>406</v>
      </c>
      <c r="D184" s="40" t="s">
        <v>343</v>
      </c>
      <c r="E184" s="41">
        <v>13460</v>
      </c>
      <c r="F184" s="42" t="str">
        <f t="shared" si="4"/>
        <v>壁掛型  2.5kW</v>
      </c>
      <c r="G184" s="43" t="s">
        <v>98</v>
      </c>
      <c r="H184" s="11" t="s">
        <v>0</v>
      </c>
      <c r="L184" s="40" t="s">
        <v>230</v>
      </c>
    </row>
    <row r="185" spans="1:15">
      <c r="A185" s="24" t="s">
        <v>403</v>
      </c>
      <c r="B185" s="23" t="s">
        <v>401</v>
      </c>
      <c r="C185" s="40" t="s">
        <v>450</v>
      </c>
      <c r="D185" s="40" t="s">
        <v>343</v>
      </c>
      <c r="E185" s="41">
        <v>15260</v>
      </c>
      <c r="F185" s="42" t="str">
        <f t="shared" si="4"/>
        <v>壁掛型  3.0kW</v>
      </c>
      <c r="G185" s="43" t="s">
        <v>99</v>
      </c>
      <c r="H185" s="11" t="s">
        <v>0</v>
      </c>
      <c r="L185" s="40" t="s">
        <v>231</v>
      </c>
    </row>
    <row r="186" spans="1:15">
      <c r="A186" s="24" t="s">
        <v>403</v>
      </c>
      <c r="B186" s="23" t="s">
        <v>401</v>
      </c>
      <c r="C186" s="40" t="s">
        <v>407</v>
      </c>
      <c r="D186" s="40" t="s">
        <v>343</v>
      </c>
      <c r="E186" s="41">
        <v>15260</v>
      </c>
      <c r="F186" s="42" t="str">
        <f t="shared" si="4"/>
        <v>壁掛型  3.0kW</v>
      </c>
      <c r="G186" s="43" t="s">
        <v>99</v>
      </c>
      <c r="H186" s="11" t="s">
        <v>0</v>
      </c>
      <c r="L186" s="40" t="s">
        <v>231</v>
      </c>
    </row>
    <row r="187" spans="1:15">
      <c r="A187" s="24" t="s">
        <v>403</v>
      </c>
      <c r="B187" s="23" t="s">
        <v>401</v>
      </c>
      <c r="C187" s="40" t="s">
        <v>408</v>
      </c>
      <c r="D187" s="40" t="s">
        <v>343</v>
      </c>
      <c r="E187" s="41">
        <v>19660</v>
      </c>
      <c r="F187" s="42" t="str">
        <f t="shared" si="4"/>
        <v>壁掛型  4.0kW</v>
      </c>
      <c r="G187" s="43" t="s">
        <v>180</v>
      </c>
      <c r="H187" s="11" t="s">
        <v>0</v>
      </c>
      <c r="L187" s="40" t="s">
        <v>231</v>
      </c>
    </row>
    <row r="188" spans="1:15">
      <c r="A188" s="24" t="s">
        <v>403</v>
      </c>
      <c r="B188" s="23" t="s">
        <v>401</v>
      </c>
      <c r="C188" s="40" t="s">
        <v>409</v>
      </c>
      <c r="D188" s="40" t="s">
        <v>343</v>
      </c>
      <c r="E188" s="41">
        <v>23060</v>
      </c>
      <c r="F188" s="42" t="str">
        <f t="shared" si="4"/>
        <v>壁掛型  5.0kW</v>
      </c>
      <c r="G188" s="43" t="s">
        <v>103</v>
      </c>
      <c r="H188" s="11" t="s">
        <v>0</v>
      </c>
      <c r="L188" s="40" t="s">
        <v>231</v>
      </c>
    </row>
    <row r="189" spans="1:15">
      <c r="A189" s="24" t="s">
        <v>403</v>
      </c>
      <c r="B189" s="23" t="s">
        <v>401</v>
      </c>
      <c r="C189" s="40" t="s">
        <v>410</v>
      </c>
      <c r="D189" s="40" t="s">
        <v>343</v>
      </c>
      <c r="E189" s="41">
        <v>23860</v>
      </c>
      <c r="F189" s="42" t="str">
        <f t="shared" si="4"/>
        <v>壁掛型  6.0kW</v>
      </c>
      <c r="G189" s="43" t="s">
        <v>104</v>
      </c>
      <c r="H189" s="11" t="s">
        <v>0</v>
      </c>
      <c r="L189" s="40" t="s">
        <v>231</v>
      </c>
    </row>
    <row r="190" spans="1:15">
      <c r="A190" s="24" t="s">
        <v>403</v>
      </c>
      <c r="B190" s="23" t="s">
        <v>401</v>
      </c>
      <c r="C190" s="40" t="s">
        <v>411</v>
      </c>
      <c r="D190" s="40" t="s">
        <v>343</v>
      </c>
      <c r="E190" s="41">
        <v>27260</v>
      </c>
      <c r="F190" s="42" t="str">
        <f t="shared" si="4"/>
        <v>壁掛型  7.0kW</v>
      </c>
      <c r="G190" s="43" t="s">
        <v>181</v>
      </c>
      <c r="H190" s="11" t="s">
        <v>0</v>
      </c>
      <c r="L190" s="40" t="s">
        <v>231</v>
      </c>
    </row>
    <row r="191" spans="1:15">
      <c r="A191" s="24" t="s">
        <v>403</v>
      </c>
      <c r="B191" s="25" t="s">
        <v>412</v>
      </c>
      <c r="C191" s="40" t="s">
        <v>413</v>
      </c>
      <c r="D191" s="40" t="s">
        <v>343</v>
      </c>
      <c r="E191" s="41">
        <v>19800</v>
      </c>
      <c r="F191" s="42" t="str">
        <f t="shared" si="4"/>
        <v>天花板嵌入型  2.5kW</v>
      </c>
      <c r="G191" s="43" t="s">
        <v>98</v>
      </c>
      <c r="H191" s="11" t="s">
        <v>0</v>
      </c>
    </row>
    <row r="192" spans="1:15">
      <c r="A192" s="24" t="s">
        <v>403</v>
      </c>
      <c r="B192" s="25" t="s">
        <v>412</v>
      </c>
      <c r="C192" s="40" t="s">
        <v>414</v>
      </c>
      <c r="D192" s="40" t="s">
        <v>343</v>
      </c>
      <c r="E192" s="41">
        <v>21800</v>
      </c>
      <c r="F192" s="42" t="str">
        <f t="shared" si="4"/>
        <v>天花板嵌入型  3.0kW</v>
      </c>
      <c r="G192" s="43" t="s">
        <v>99</v>
      </c>
      <c r="H192" s="11" t="s">
        <v>0</v>
      </c>
    </row>
    <row r="193" spans="1:12">
      <c r="A193" s="24" t="s">
        <v>403</v>
      </c>
      <c r="B193" s="25" t="s">
        <v>412</v>
      </c>
      <c r="C193" s="40" t="s">
        <v>415</v>
      </c>
      <c r="D193" s="40" t="s">
        <v>343</v>
      </c>
      <c r="E193" s="41">
        <v>23800</v>
      </c>
      <c r="F193" s="42" t="str">
        <f t="shared" si="4"/>
        <v>天花板嵌入型  4.0kW</v>
      </c>
      <c r="G193" s="43" t="s">
        <v>180</v>
      </c>
      <c r="H193" s="11" t="s">
        <v>0</v>
      </c>
    </row>
    <row r="194" spans="1:12">
      <c r="A194" s="24" t="s">
        <v>403</v>
      </c>
      <c r="B194" s="25" t="s">
        <v>412</v>
      </c>
      <c r="C194" s="40" t="s">
        <v>416</v>
      </c>
      <c r="D194" s="40" t="s">
        <v>343</v>
      </c>
      <c r="E194" s="41">
        <v>25800</v>
      </c>
      <c r="F194" s="42" t="str">
        <f t="shared" si="4"/>
        <v>天花板嵌入型  5.0kW</v>
      </c>
      <c r="G194" s="43" t="s">
        <v>103</v>
      </c>
      <c r="H194" s="11" t="s">
        <v>0</v>
      </c>
    </row>
    <row r="195" spans="1:12">
      <c r="A195" s="24" t="s">
        <v>403</v>
      </c>
      <c r="B195" s="25" t="s">
        <v>412</v>
      </c>
      <c r="C195" s="40" t="s">
        <v>417</v>
      </c>
      <c r="D195" s="40" t="s">
        <v>343</v>
      </c>
      <c r="E195" s="41">
        <v>28800</v>
      </c>
      <c r="F195" s="42" t="str">
        <f t="shared" si="4"/>
        <v>天花板嵌入型  6.0kW</v>
      </c>
      <c r="G195" s="43" t="s">
        <v>104</v>
      </c>
      <c r="H195" s="11" t="s">
        <v>0</v>
      </c>
    </row>
    <row r="196" spans="1:12">
      <c r="A196" s="24" t="s">
        <v>403</v>
      </c>
      <c r="B196" s="26" t="s">
        <v>418</v>
      </c>
      <c r="C196" s="40" t="s">
        <v>419</v>
      </c>
      <c r="D196" s="40" t="s">
        <v>343</v>
      </c>
      <c r="E196" s="41">
        <v>15800</v>
      </c>
      <c r="F196" s="42" t="str">
        <f t="shared" si="4"/>
        <v>天花板風管連接薄型  2.5kW</v>
      </c>
      <c r="G196" s="43" t="s">
        <v>98</v>
      </c>
      <c r="H196" s="11" t="s">
        <v>262</v>
      </c>
      <c r="J196" s="46"/>
      <c r="L196" s="40" t="s">
        <v>218</v>
      </c>
    </row>
    <row r="197" spans="1:12">
      <c r="A197" s="24" t="s">
        <v>403</v>
      </c>
      <c r="B197" s="26" t="s">
        <v>418</v>
      </c>
      <c r="C197" s="40" t="s">
        <v>260</v>
      </c>
      <c r="D197" s="40" t="s">
        <v>343</v>
      </c>
      <c r="E197" s="41">
        <v>16800</v>
      </c>
      <c r="F197" s="42" t="str">
        <f t="shared" si="4"/>
        <v>天花板風管連接薄型  3.0kW</v>
      </c>
      <c r="G197" s="43" t="s">
        <v>99</v>
      </c>
      <c r="H197" s="11" t="s">
        <v>262</v>
      </c>
      <c r="L197" s="40" t="s">
        <v>218</v>
      </c>
    </row>
    <row r="198" spans="1:12">
      <c r="A198" s="24" t="s">
        <v>403</v>
      </c>
      <c r="B198" s="26" t="s">
        <v>418</v>
      </c>
      <c r="C198" s="40" t="s">
        <v>261</v>
      </c>
      <c r="D198" s="40" t="s">
        <v>343</v>
      </c>
      <c r="E198" s="41">
        <v>18800</v>
      </c>
      <c r="F198" s="42" t="str">
        <f t="shared" si="4"/>
        <v>天花板風管連接薄型  4.0kW</v>
      </c>
      <c r="G198" s="43" t="s">
        <v>180</v>
      </c>
      <c r="H198" s="11" t="s">
        <v>0</v>
      </c>
      <c r="L198" s="40" t="s">
        <v>219</v>
      </c>
    </row>
    <row r="199" spans="1:12">
      <c r="A199" s="24" t="s">
        <v>403</v>
      </c>
      <c r="B199" s="26" t="s">
        <v>418</v>
      </c>
      <c r="C199" s="40" t="s">
        <v>420</v>
      </c>
      <c r="D199" s="40" t="s">
        <v>343</v>
      </c>
      <c r="E199" s="41">
        <v>20800</v>
      </c>
      <c r="F199" s="42" t="str">
        <f t="shared" si="4"/>
        <v>天花板風管連接薄型  5.0kW</v>
      </c>
      <c r="G199" s="43" t="s">
        <v>103</v>
      </c>
      <c r="H199" s="11" t="s">
        <v>0</v>
      </c>
      <c r="L199" s="40" t="s">
        <v>219</v>
      </c>
    </row>
    <row r="200" spans="1:12">
      <c r="A200" s="24" t="s">
        <v>403</v>
      </c>
      <c r="B200" s="26" t="s">
        <v>418</v>
      </c>
      <c r="C200" s="40" t="s">
        <v>179</v>
      </c>
      <c r="D200" s="40" t="s">
        <v>343</v>
      </c>
      <c r="E200" s="41">
        <v>23800</v>
      </c>
      <c r="F200" s="42" t="str">
        <f t="shared" si="4"/>
        <v>天花板風管連接薄型  6.0kW</v>
      </c>
      <c r="G200" s="43" t="s">
        <v>104</v>
      </c>
      <c r="H200" s="11" t="s">
        <v>0</v>
      </c>
      <c r="L200" s="40" t="s">
        <v>220</v>
      </c>
    </row>
    <row r="201" spans="1:12">
      <c r="A201" s="27" t="s">
        <v>421</v>
      </c>
      <c r="B201" s="28" t="s">
        <v>422</v>
      </c>
      <c r="C201" s="40" t="s">
        <v>264</v>
      </c>
      <c r="D201" s="40" t="s">
        <v>343</v>
      </c>
      <c r="E201" s="41">
        <v>34600</v>
      </c>
      <c r="F201" s="42" t="str">
        <f t="shared" si="4"/>
        <v xml:space="preserve">H型全熱交換器  </v>
      </c>
      <c r="G201" s="43" t="s">
        <v>55</v>
      </c>
      <c r="H201" s="11" t="s">
        <v>273</v>
      </c>
      <c r="L201" s="40" t="s">
        <v>274</v>
      </c>
    </row>
    <row r="202" spans="1:12">
      <c r="A202" s="27" t="s">
        <v>421</v>
      </c>
      <c r="B202" s="28" t="s">
        <v>422</v>
      </c>
      <c r="C202" s="40" t="s">
        <v>265</v>
      </c>
      <c r="D202" s="40" t="s">
        <v>343</v>
      </c>
      <c r="E202" s="41">
        <v>36800</v>
      </c>
      <c r="F202" s="42" t="str">
        <f t="shared" si="4"/>
        <v xml:space="preserve">H型全熱交換器  </v>
      </c>
      <c r="G202" s="43" t="s">
        <v>55</v>
      </c>
      <c r="H202" s="11" t="s">
        <v>273</v>
      </c>
      <c r="L202" s="40" t="s">
        <v>274</v>
      </c>
    </row>
    <row r="203" spans="1:12">
      <c r="A203" s="27" t="s">
        <v>421</v>
      </c>
      <c r="B203" s="28" t="s">
        <v>422</v>
      </c>
      <c r="C203" s="40" t="s">
        <v>266</v>
      </c>
      <c r="D203" s="40" t="s">
        <v>343</v>
      </c>
      <c r="E203" s="41">
        <v>42700</v>
      </c>
      <c r="F203" s="42" t="str">
        <f t="shared" si="4"/>
        <v xml:space="preserve">H型全熱交換器  </v>
      </c>
      <c r="G203" s="43" t="s">
        <v>55</v>
      </c>
      <c r="H203" s="11" t="s">
        <v>273</v>
      </c>
      <c r="L203" s="40" t="s">
        <v>275</v>
      </c>
    </row>
    <row r="204" spans="1:12">
      <c r="A204" s="27" t="s">
        <v>421</v>
      </c>
      <c r="B204" s="28" t="s">
        <v>422</v>
      </c>
      <c r="C204" s="40" t="s">
        <v>267</v>
      </c>
      <c r="D204" s="40" t="s">
        <v>343</v>
      </c>
      <c r="E204" s="41">
        <v>45800</v>
      </c>
      <c r="F204" s="42" t="str">
        <f t="shared" si="4"/>
        <v xml:space="preserve">H型全熱交換器  </v>
      </c>
      <c r="G204" s="43" t="s">
        <v>55</v>
      </c>
      <c r="H204" s="11" t="s">
        <v>273</v>
      </c>
      <c r="L204" s="40" t="s">
        <v>276</v>
      </c>
    </row>
    <row r="205" spans="1:12">
      <c r="A205" s="27" t="s">
        <v>421</v>
      </c>
      <c r="B205" s="28" t="s">
        <v>422</v>
      </c>
      <c r="C205" s="40" t="s">
        <v>268</v>
      </c>
      <c r="D205" s="40" t="s">
        <v>343</v>
      </c>
      <c r="E205" s="41">
        <v>51800</v>
      </c>
      <c r="F205" s="42" t="str">
        <f t="shared" si="4"/>
        <v xml:space="preserve">H型全熱交換器  </v>
      </c>
      <c r="G205" s="43" t="s">
        <v>55</v>
      </c>
      <c r="H205" s="11" t="s">
        <v>273</v>
      </c>
      <c r="L205" s="40" t="s">
        <v>276</v>
      </c>
    </row>
    <row r="206" spans="1:12">
      <c r="A206" s="27" t="s">
        <v>421</v>
      </c>
      <c r="B206" s="28" t="s">
        <v>422</v>
      </c>
      <c r="C206" s="40" t="s">
        <v>269</v>
      </c>
      <c r="D206" s="40" t="s">
        <v>343</v>
      </c>
      <c r="E206" s="41">
        <v>69100</v>
      </c>
      <c r="F206" s="42" t="str">
        <f t="shared" si="4"/>
        <v xml:space="preserve">H型全熱交換器  </v>
      </c>
      <c r="G206" s="43" t="s">
        <v>55</v>
      </c>
      <c r="H206" s="11" t="s">
        <v>273</v>
      </c>
      <c r="L206" s="40" t="s">
        <v>277</v>
      </c>
    </row>
    <row r="207" spans="1:12">
      <c r="A207" s="27" t="s">
        <v>421</v>
      </c>
      <c r="B207" s="28" t="s">
        <v>422</v>
      </c>
      <c r="C207" s="40" t="s">
        <v>270</v>
      </c>
      <c r="D207" s="40" t="s">
        <v>343</v>
      </c>
      <c r="E207" s="41">
        <v>81300</v>
      </c>
      <c r="F207" s="42" t="str">
        <f t="shared" si="4"/>
        <v xml:space="preserve">H型全熱交換器  </v>
      </c>
      <c r="G207" s="43" t="s">
        <v>55</v>
      </c>
      <c r="H207" s="11" t="s">
        <v>273</v>
      </c>
      <c r="L207" s="40" t="s">
        <v>277</v>
      </c>
    </row>
    <row r="208" spans="1:12">
      <c r="A208" s="27" t="s">
        <v>421</v>
      </c>
      <c r="B208" s="28" t="s">
        <v>422</v>
      </c>
      <c r="C208" s="40" t="s">
        <v>271</v>
      </c>
      <c r="D208" s="40" t="s">
        <v>343</v>
      </c>
      <c r="E208" s="41">
        <v>122700</v>
      </c>
      <c r="F208" s="42" t="str">
        <f t="shared" si="4"/>
        <v xml:space="preserve">H型全熱交換器  </v>
      </c>
      <c r="G208" s="43" t="s">
        <v>55</v>
      </c>
      <c r="H208" s="11" t="s">
        <v>273</v>
      </c>
      <c r="L208" s="40" t="s">
        <v>278</v>
      </c>
    </row>
    <row r="209" spans="1:12">
      <c r="A209" s="27" t="s">
        <v>421</v>
      </c>
      <c r="B209" s="28" t="s">
        <v>422</v>
      </c>
      <c r="C209" s="40" t="s">
        <v>272</v>
      </c>
      <c r="D209" s="40" t="s">
        <v>343</v>
      </c>
      <c r="E209" s="41">
        <v>150000</v>
      </c>
      <c r="F209" s="42" t="str">
        <f t="shared" si="4"/>
        <v xml:space="preserve">H型全熱交換器  </v>
      </c>
      <c r="G209" s="43" t="s">
        <v>55</v>
      </c>
      <c r="H209" s="11" t="s">
        <v>273</v>
      </c>
      <c r="L209" s="40" t="s">
        <v>278</v>
      </c>
    </row>
    <row r="210" spans="1:12">
      <c r="A210" s="27" t="s">
        <v>421</v>
      </c>
      <c r="B210" s="28" t="s">
        <v>455</v>
      </c>
      <c r="C210" s="40" t="s">
        <v>456</v>
      </c>
      <c r="D210" s="40" t="s">
        <v>343</v>
      </c>
      <c r="E210" s="41">
        <v>37600</v>
      </c>
      <c r="F210" s="42" t="str">
        <f>B210&amp;"  "&amp;G210</f>
        <v xml:space="preserve">H型全熱交換器(PM2.5)  </v>
      </c>
      <c r="G210" s="43" t="s">
        <v>55</v>
      </c>
      <c r="H210" s="11" t="s">
        <v>273</v>
      </c>
      <c r="L210" s="40" t="s">
        <v>274</v>
      </c>
    </row>
    <row r="211" spans="1:12">
      <c r="A211" s="27" t="s">
        <v>421</v>
      </c>
      <c r="B211" s="28" t="s">
        <v>455</v>
      </c>
      <c r="C211" s="40" t="s">
        <v>457</v>
      </c>
      <c r="D211" s="40" t="s">
        <v>343</v>
      </c>
      <c r="E211" s="41">
        <v>39800</v>
      </c>
      <c r="F211" s="42" t="str">
        <f>B211&amp;"  "&amp;G211</f>
        <v xml:space="preserve">H型全熱交換器(PM2.5)  </v>
      </c>
      <c r="G211" s="43" t="s">
        <v>55</v>
      </c>
      <c r="H211" s="11" t="s">
        <v>273</v>
      </c>
      <c r="L211" s="40" t="s">
        <v>274</v>
      </c>
    </row>
    <row r="212" spans="1:12">
      <c r="A212" s="27" t="s">
        <v>421</v>
      </c>
      <c r="B212" s="28" t="s">
        <v>455</v>
      </c>
      <c r="C212" s="11" t="s">
        <v>458</v>
      </c>
      <c r="D212" s="40" t="s">
        <v>343</v>
      </c>
      <c r="E212" s="41">
        <v>46400</v>
      </c>
      <c r="F212" s="42" t="str">
        <f>B212&amp;"  "&amp;G212</f>
        <v xml:space="preserve">H型全熱交換器(PM2.5)  </v>
      </c>
      <c r="G212" s="43" t="s">
        <v>55</v>
      </c>
      <c r="H212" s="11" t="s">
        <v>273</v>
      </c>
      <c r="L212" s="40" t="s">
        <v>275</v>
      </c>
    </row>
    <row r="213" spans="1:12">
      <c r="A213" s="29" t="s">
        <v>423</v>
      </c>
      <c r="B213" s="30" t="s">
        <v>314</v>
      </c>
      <c r="C213" s="40" t="s">
        <v>185</v>
      </c>
      <c r="D213" s="40" t="s">
        <v>343</v>
      </c>
      <c r="E213" s="41">
        <v>107100</v>
      </c>
      <c r="F213" s="42" t="str">
        <f t="shared" si="4"/>
        <v xml:space="preserve">外氣處理機 ( 6HP)  </v>
      </c>
      <c r="G213" s="43" t="s">
        <v>55</v>
      </c>
      <c r="L213" s="40" t="s">
        <v>232</v>
      </c>
    </row>
    <row r="214" spans="1:12">
      <c r="A214" s="29" t="s">
        <v>423</v>
      </c>
      <c r="B214" s="30" t="s">
        <v>315</v>
      </c>
      <c r="C214" s="40" t="s">
        <v>2</v>
      </c>
      <c r="D214" s="40" t="s">
        <v>343</v>
      </c>
      <c r="E214" s="41">
        <v>128800</v>
      </c>
      <c r="F214" s="42" t="str">
        <f t="shared" si="4"/>
        <v xml:space="preserve">外氣處理機 ( 8HP)  </v>
      </c>
      <c r="G214" s="43" t="s">
        <v>55</v>
      </c>
      <c r="L214" s="40" t="s">
        <v>217</v>
      </c>
    </row>
    <row r="215" spans="1:12">
      <c r="A215" s="29" t="s">
        <v>423</v>
      </c>
      <c r="B215" s="30" t="s">
        <v>316</v>
      </c>
      <c r="C215" s="40" t="s">
        <v>3</v>
      </c>
      <c r="D215" s="40" t="s">
        <v>343</v>
      </c>
      <c r="E215" s="41">
        <v>139900</v>
      </c>
      <c r="F215" s="42" t="str">
        <f t="shared" si="4"/>
        <v xml:space="preserve">外氣處理機 (10HP)  </v>
      </c>
      <c r="G215" s="43" t="s">
        <v>55</v>
      </c>
      <c r="L215" s="40" t="s">
        <v>217</v>
      </c>
    </row>
    <row r="216" spans="1:12">
      <c r="A216" s="29" t="s">
        <v>423</v>
      </c>
      <c r="B216" s="30" t="s">
        <v>459</v>
      </c>
      <c r="C216" s="40" t="s">
        <v>461</v>
      </c>
      <c r="D216" s="40" t="s">
        <v>343</v>
      </c>
      <c r="E216" s="41">
        <v>56100</v>
      </c>
      <c r="F216" s="42" t="str">
        <f t="shared" si="4"/>
        <v xml:space="preserve">外氣處理機 ( 3.5HP)  </v>
      </c>
      <c r="G216" s="43" t="s">
        <v>55</v>
      </c>
      <c r="L216" s="40" t="s">
        <v>232</v>
      </c>
    </row>
    <row r="217" spans="1:12">
      <c r="A217" s="29" t="s">
        <v>423</v>
      </c>
      <c r="B217" s="30" t="s">
        <v>314</v>
      </c>
      <c r="C217" s="40" t="s">
        <v>460</v>
      </c>
      <c r="D217" s="40" t="s">
        <v>343</v>
      </c>
      <c r="E217" s="41">
        <v>78500</v>
      </c>
      <c r="F217" s="42" t="str">
        <f>B217&amp;"  "&amp;G217</f>
        <v xml:space="preserve">外氣處理機 ( 6HP)  </v>
      </c>
      <c r="G217" s="43" t="s">
        <v>55</v>
      </c>
      <c r="L217" s="40" t="s">
        <v>232</v>
      </c>
    </row>
    <row r="218" spans="1:12">
      <c r="A218" s="29" t="s">
        <v>423</v>
      </c>
      <c r="B218" s="30" t="s">
        <v>315</v>
      </c>
      <c r="C218" s="40" t="s">
        <v>462</v>
      </c>
      <c r="D218" s="40" t="s">
        <v>343</v>
      </c>
      <c r="E218" s="41">
        <v>112200</v>
      </c>
      <c r="F218" s="42" t="str">
        <f>B218&amp;"  "&amp;G218</f>
        <v xml:space="preserve">外氣處理機 ( 8HP)  </v>
      </c>
      <c r="G218" s="43" t="s">
        <v>55</v>
      </c>
      <c r="L218" s="40" t="s">
        <v>217</v>
      </c>
    </row>
    <row r="219" spans="1:12">
      <c r="A219" s="29" t="s">
        <v>423</v>
      </c>
      <c r="B219" s="30" t="s">
        <v>316</v>
      </c>
      <c r="C219" s="40" t="s">
        <v>463</v>
      </c>
      <c r="D219" s="40" t="s">
        <v>343</v>
      </c>
      <c r="E219" s="41">
        <v>119300</v>
      </c>
      <c r="F219" s="42" t="str">
        <f>B219&amp;"  "&amp;G219</f>
        <v xml:space="preserve">外氣處理機 (10HP)  </v>
      </c>
      <c r="G219" s="43" t="s">
        <v>55</v>
      </c>
      <c r="L219" s="40" t="s">
        <v>217</v>
      </c>
    </row>
    <row r="220" spans="1:12">
      <c r="A220" s="31" t="s">
        <v>424</v>
      </c>
      <c r="B220" s="32" t="s">
        <v>425</v>
      </c>
      <c r="C220" s="40" t="s">
        <v>426</v>
      </c>
      <c r="D220" s="40" t="s">
        <v>353</v>
      </c>
      <c r="E220" s="41">
        <v>400000</v>
      </c>
      <c r="F220" s="42" t="str">
        <f t="shared" si="4"/>
        <v>VRV IVQ  28kW</v>
      </c>
      <c r="G220" s="43" t="s">
        <v>245</v>
      </c>
    </row>
    <row r="221" spans="1:12">
      <c r="A221" s="31" t="s">
        <v>424</v>
      </c>
      <c r="B221" s="32" t="s">
        <v>425</v>
      </c>
      <c r="C221" s="40" t="s">
        <v>427</v>
      </c>
      <c r="D221" s="40" t="s">
        <v>353</v>
      </c>
      <c r="E221" s="41">
        <v>646600</v>
      </c>
      <c r="F221" s="42" t="str">
        <f t="shared" si="4"/>
        <v>VRV IVQ  45kW</v>
      </c>
      <c r="G221" s="43" t="s">
        <v>248</v>
      </c>
    </row>
    <row r="222" spans="1:12">
      <c r="A222" s="33" t="s">
        <v>428</v>
      </c>
      <c r="B222" s="33" t="s">
        <v>429</v>
      </c>
      <c r="C222" s="40" t="s">
        <v>430</v>
      </c>
      <c r="D222" s="40" t="s">
        <v>353</v>
      </c>
      <c r="E222" s="41">
        <v>290300</v>
      </c>
      <c r="F222" s="42" t="str">
        <f t="shared" si="4"/>
        <v xml:space="preserve">VRV WIII  </v>
      </c>
      <c r="G222" s="43" t="s">
        <v>55</v>
      </c>
    </row>
    <row r="223" spans="1:12">
      <c r="A223" s="33" t="s">
        <v>428</v>
      </c>
      <c r="B223" s="33" t="s">
        <v>429</v>
      </c>
      <c r="C223" s="40" t="s">
        <v>431</v>
      </c>
      <c r="D223" s="40" t="s">
        <v>353</v>
      </c>
      <c r="E223" s="41">
        <v>349400</v>
      </c>
      <c r="F223" s="42" t="str">
        <f t="shared" si="4"/>
        <v xml:space="preserve">VRV WIII  </v>
      </c>
      <c r="G223" s="43" t="s">
        <v>55</v>
      </c>
    </row>
    <row r="224" spans="1:12">
      <c r="A224" s="33" t="s">
        <v>428</v>
      </c>
      <c r="B224" s="33" t="s">
        <v>429</v>
      </c>
      <c r="C224" s="40" t="s">
        <v>432</v>
      </c>
      <c r="D224" s="40" t="s">
        <v>353</v>
      </c>
      <c r="E224" s="41">
        <f>E222+E222</f>
        <v>580600</v>
      </c>
      <c r="F224" s="42" t="str">
        <f t="shared" si="4"/>
        <v xml:space="preserve">VRV WIII  </v>
      </c>
      <c r="G224" s="43" t="s">
        <v>55</v>
      </c>
      <c r="H224" s="11" t="s">
        <v>4</v>
      </c>
      <c r="I224" s="11" t="s">
        <v>430</v>
      </c>
      <c r="J224" s="11" t="s">
        <v>430</v>
      </c>
    </row>
    <row r="225" spans="1:11">
      <c r="A225" s="33" t="s">
        <v>428</v>
      </c>
      <c r="B225" s="33" t="s">
        <v>429</v>
      </c>
      <c r="C225" s="40" t="s">
        <v>433</v>
      </c>
      <c r="D225" s="40" t="s">
        <v>353</v>
      </c>
      <c r="E225" s="41">
        <f>E222+E223</f>
        <v>639700</v>
      </c>
      <c r="F225" s="42" t="str">
        <f t="shared" si="4"/>
        <v xml:space="preserve">VRV WIII  </v>
      </c>
      <c r="G225" s="43" t="s">
        <v>55</v>
      </c>
      <c r="H225" s="11" t="s">
        <v>4</v>
      </c>
      <c r="I225" s="11" t="s">
        <v>430</v>
      </c>
      <c r="J225" s="11" t="s">
        <v>431</v>
      </c>
    </row>
    <row r="226" spans="1:11">
      <c r="A226" s="33" t="s">
        <v>428</v>
      </c>
      <c r="B226" s="33" t="s">
        <v>429</v>
      </c>
      <c r="C226" s="40" t="s">
        <v>434</v>
      </c>
      <c r="D226" s="40" t="s">
        <v>353</v>
      </c>
      <c r="E226" s="41">
        <f>E223+E223</f>
        <v>698800</v>
      </c>
      <c r="F226" s="42" t="str">
        <f t="shared" si="4"/>
        <v xml:space="preserve">VRV WIII  </v>
      </c>
      <c r="G226" s="43" t="s">
        <v>55</v>
      </c>
      <c r="H226" s="11" t="s">
        <v>5</v>
      </c>
      <c r="I226" s="11" t="s">
        <v>431</v>
      </c>
      <c r="J226" s="11" t="s">
        <v>431</v>
      </c>
    </row>
    <row r="227" spans="1:11">
      <c r="A227" s="33" t="s">
        <v>428</v>
      </c>
      <c r="B227" s="33" t="s">
        <v>429</v>
      </c>
      <c r="C227" s="11" t="s">
        <v>435</v>
      </c>
      <c r="D227" s="40" t="s">
        <v>353</v>
      </c>
      <c r="E227" s="41">
        <f>E222+E222+E222</f>
        <v>870900</v>
      </c>
      <c r="F227" s="42" t="str">
        <f t="shared" si="4"/>
        <v xml:space="preserve">VRV WIII  </v>
      </c>
      <c r="G227" s="43" t="s">
        <v>55</v>
      </c>
      <c r="H227" s="11" t="s">
        <v>6</v>
      </c>
      <c r="I227" s="11" t="s">
        <v>430</v>
      </c>
      <c r="J227" s="11" t="s">
        <v>430</v>
      </c>
      <c r="K227" s="40" t="s">
        <v>430</v>
      </c>
    </row>
    <row r="228" spans="1:11">
      <c r="A228" s="33" t="s">
        <v>428</v>
      </c>
      <c r="B228" s="33" t="s">
        <v>429</v>
      </c>
      <c r="C228" s="40" t="s">
        <v>436</v>
      </c>
      <c r="D228" s="40" t="s">
        <v>353</v>
      </c>
      <c r="E228" s="41">
        <f>E222+E222+E223</f>
        <v>930000</v>
      </c>
      <c r="F228" s="42" t="str">
        <f t="shared" si="4"/>
        <v xml:space="preserve">VRV WIII  </v>
      </c>
      <c r="G228" s="43" t="s">
        <v>55</v>
      </c>
      <c r="H228" s="11" t="s">
        <v>6</v>
      </c>
      <c r="I228" s="11" t="s">
        <v>430</v>
      </c>
      <c r="J228" s="11" t="s">
        <v>430</v>
      </c>
      <c r="K228" s="40" t="s">
        <v>431</v>
      </c>
    </row>
    <row r="229" spans="1:11">
      <c r="A229" s="33" t="s">
        <v>428</v>
      </c>
      <c r="B229" s="33" t="s">
        <v>429</v>
      </c>
      <c r="C229" s="40" t="s">
        <v>437</v>
      </c>
      <c r="D229" s="40" t="s">
        <v>353</v>
      </c>
      <c r="E229" s="41">
        <f>E222+E223+E223</f>
        <v>989100</v>
      </c>
      <c r="F229" s="42" t="str">
        <f t="shared" si="4"/>
        <v xml:space="preserve">VRV WIII  </v>
      </c>
      <c r="G229" s="43" t="s">
        <v>55</v>
      </c>
      <c r="H229" s="11" t="s">
        <v>6</v>
      </c>
      <c r="I229" s="11" t="s">
        <v>430</v>
      </c>
      <c r="J229" s="11" t="s">
        <v>431</v>
      </c>
      <c r="K229" s="40" t="s">
        <v>431</v>
      </c>
    </row>
    <row r="230" spans="1:11">
      <c r="A230" s="33" t="s">
        <v>428</v>
      </c>
      <c r="B230" s="33" t="s">
        <v>429</v>
      </c>
      <c r="C230" s="40" t="s">
        <v>438</v>
      </c>
      <c r="D230" s="40" t="s">
        <v>353</v>
      </c>
      <c r="E230" s="41">
        <f>E223+E223+E223</f>
        <v>1048200</v>
      </c>
      <c r="F230" s="42" t="str">
        <f t="shared" si="4"/>
        <v xml:space="preserve">VRV WIII  </v>
      </c>
      <c r="G230" s="43" t="s">
        <v>55</v>
      </c>
      <c r="H230" s="11" t="s">
        <v>6</v>
      </c>
      <c r="I230" s="11" t="s">
        <v>431</v>
      </c>
      <c r="J230" s="11" t="s">
        <v>431</v>
      </c>
      <c r="K230" s="40" t="s">
        <v>431</v>
      </c>
    </row>
    <row r="231" spans="1:11">
      <c r="A231" s="1" t="s">
        <v>465</v>
      </c>
      <c r="C231" s="40" t="s">
        <v>467</v>
      </c>
      <c r="E231" s="41"/>
      <c r="G231" s="43">
        <v>2.2000000000000002</v>
      </c>
    </row>
    <row r="232" spans="1:11">
      <c r="A232" s="1" t="s">
        <v>465</v>
      </c>
      <c r="C232" s="40" t="s">
        <v>466</v>
      </c>
      <c r="E232" s="41"/>
      <c r="G232" s="45">
        <v>2.8</v>
      </c>
    </row>
    <row r="233" spans="1:11">
      <c r="A233" s="1" t="s">
        <v>465</v>
      </c>
      <c r="C233" s="40" t="s">
        <v>468</v>
      </c>
      <c r="E233" s="41"/>
      <c r="G233" s="45">
        <v>3.5</v>
      </c>
    </row>
    <row r="234" spans="1:11">
      <c r="A234" s="1" t="s">
        <v>465</v>
      </c>
      <c r="C234" s="40" t="s">
        <v>469</v>
      </c>
      <c r="E234" s="41"/>
      <c r="G234" s="45">
        <v>4.0999999999999996</v>
      </c>
    </row>
    <row r="235" spans="1:11">
      <c r="A235" s="1" t="s">
        <v>465</v>
      </c>
      <c r="C235" s="40" t="s">
        <v>470</v>
      </c>
      <c r="G235" s="45">
        <v>5</v>
      </c>
    </row>
    <row r="236" spans="1:11">
      <c r="A236" s="1" t="s">
        <v>465</v>
      </c>
      <c r="C236" s="40" t="s">
        <v>471</v>
      </c>
      <c r="G236" s="45">
        <v>6</v>
      </c>
    </row>
    <row r="237" spans="1:11">
      <c r="A237" s="1" t="s">
        <v>465</v>
      </c>
      <c r="C237" s="40" t="s">
        <v>472</v>
      </c>
      <c r="G237" s="45">
        <v>7.2</v>
      </c>
    </row>
    <row r="238" spans="1:11">
      <c r="A238" s="1" t="s">
        <v>465</v>
      </c>
      <c r="C238" s="40" t="s">
        <v>473</v>
      </c>
      <c r="G238" s="45">
        <v>8</v>
      </c>
    </row>
    <row r="239" spans="1:11">
      <c r="A239" s="1" t="s">
        <v>465</v>
      </c>
      <c r="C239" s="40" t="s">
        <v>474</v>
      </c>
      <c r="G239" s="45">
        <v>8.6999999999999993</v>
      </c>
    </row>
    <row r="240" spans="1:11">
      <c r="A240" s="1" t="s">
        <v>476</v>
      </c>
      <c r="C240" s="40" t="s">
        <v>475</v>
      </c>
    </row>
    <row r="241" spans="1:7">
      <c r="A241" s="1" t="s">
        <v>476</v>
      </c>
      <c r="C241" s="40" t="s">
        <v>477</v>
      </c>
    </row>
    <row r="242" spans="1:7">
      <c r="A242" s="1" t="s">
        <v>476</v>
      </c>
      <c r="C242" s="40" t="s">
        <v>478</v>
      </c>
    </row>
    <row r="243" spans="1:7">
      <c r="A243" s="1" t="s">
        <v>476</v>
      </c>
      <c r="C243" s="40" t="s">
        <v>479</v>
      </c>
    </row>
    <row r="244" spans="1:7">
      <c r="A244" s="1" t="s">
        <v>476</v>
      </c>
      <c r="C244" s="40" t="s">
        <v>480</v>
      </c>
    </row>
    <row r="245" spans="1:7">
      <c r="A245" s="1" t="s">
        <v>476</v>
      </c>
      <c r="C245" s="40" t="s">
        <v>481</v>
      </c>
    </row>
    <row r="246" spans="1:7">
      <c r="A246" s="1" t="s">
        <v>476</v>
      </c>
      <c r="C246" s="40" t="s">
        <v>482</v>
      </c>
    </row>
    <row r="247" spans="1:7">
      <c r="A247" s="1" t="s">
        <v>476</v>
      </c>
      <c r="C247" s="40" t="s">
        <v>483</v>
      </c>
    </row>
    <row r="248" spans="1:7">
      <c r="A248" s="1" t="s">
        <v>476</v>
      </c>
      <c r="C248" s="40" t="s">
        <v>484</v>
      </c>
    </row>
    <row r="249" spans="1:7">
      <c r="A249" s="1" t="s">
        <v>485</v>
      </c>
      <c r="C249" s="40" t="s">
        <v>486</v>
      </c>
      <c r="G249" s="45">
        <v>7.2</v>
      </c>
    </row>
    <row r="250" spans="1:7">
      <c r="A250" s="1" t="s">
        <v>485</v>
      </c>
      <c r="C250" s="40" t="s">
        <v>487</v>
      </c>
      <c r="G250" s="45">
        <v>7.2</v>
      </c>
    </row>
    <row r="251" spans="1:7">
      <c r="A251" s="1" t="s">
        <v>488</v>
      </c>
      <c r="C251" s="40" t="s">
        <v>489</v>
      </c>
    </row>
    <row r="252" spans="1:7">
      <c r="A252" s="1" t="s">
        <v>485</v>
      </c>
      <c r="C252" s="40" t="s">
        <v>490</v>
      </c>
      <c r="G252" s="45">
        <v>10.4</v>
      </c>
    </row>
    <row r="253" spans="1:7">
      <c r="A253" s="1" t="s">
        <v>485</v>
      </c>
      <c r="C253" s="40" t="s">
        <v>491</v>
      </c>
      <c r="G253" s="45">
        <v>10.1</v>
      </c>
    </row>
    <row r="254" spans="1:7">
      <c r="A254" s="1" t="s">
        <v>488</v>
      </c>
      <c r="C254" s="40" t="s">
        <v>492</v>
      </c>
    </row>
    <row r="255" spans="1:7">
      <c r="A255" s="1" t="s">
        <v>485</v>
      </c>
      <c r="C255" s="40" t="s">
        <v>493</v>
      </c>
      <c r="G255" s="45">
        <v>12.5</v>
      </c>
    </row>
    <row r="256" spans="1:7">
      <c r="A256" s="1" t="s">
        <v>485</v>
      </c>
      <c r="C256" s="40" t="s">
        <v>494</v>
      </c>
      <c r="G256" s="45">
        <v>12.5</v>
      </c>
    </row>
    <row r="257" spans="1:7">
      <c r="A257" s="1" t="s">
        <v>488</v>
      </c>
      <c r="C257" s="40" t="s">
        <v>495</v>
      </c>
    </row>
    <row r="258" spans="1:7">
      <c r="A258" s="1" t="s">
        <v>485</v>
      </c>
      <c r="C258" s="40" t="s">
        <v>496</v>
      </c>
      <c r="G258" s="45">
        <v>14</v>
      </c>
    </row>
    <row r="259" spans="1:7">
      <c r="A259" s="1" t="s">
        <v>485</v>
      </c>
      <c r="C259" s="40" t="s">
        <v>497</v>
      </c>
      <c r="G259" s="45">
        <v>14</v>
      </c>
    </row>
    <row r="260" spans="1:7">
      <c r="A260" s="1" t="s">
        <v>488</v>
      </c>
      <c r="C260" s="40" t="s">
        <v>498</v>
      </c>
    </row>
    <row r="261" spans="1:7">
      <c r="A261" s="1" t="s">
        <v>499</v>
      </c>
      <c r="C261" s="40" t="s">
        <v>500</v>
      </c>
    </row>
    <row r="262" spans="1:7">
      <c r="A262" s="1" t="s">
        <v>499</v>
      </c>
      <c r="C262" s="40" t="s">
        <v>501</v>
      </c>
    </row>
    <row r="263" spans="1:7">
      <c r="A263" s="1" t="s">
        <v>499</v>
      </c>
      <c r="C263" s="40" t="s">
        <v>502</v>
      </c>
    </row>
    <row r="264" spans="1:7">
      <c r="A264" s="1" t="s">
        <v>499</v>
      </c>
      <c r="C264" s="40" t="s">
        <v>503</v>
      </c>
    </row>
    <row r="265" spans="1:7">
      <c r="A265" s="1" t="s">
        <v>504</v>
      </c>
      <c r="C265" s="40" t="s">
        <v>505</v>
      </c>
      <c r="G265" s="43">
        <v>2.2000000000000002</v>
      </c>
    </row>
    <row r="266" spans="1:7">
      <c r="A266" s="1" t="s">
        <v>504</v>
      </c>
      <c r="C266" s="40" t="s">
        <v>506</v>
      </c>
      <c r="G266" s="45">
        <v>2.8</v>
      </c>
    </row>
    <row r="267" spans="1:7">
      <c r="A267" s="1" t="s">
        <v>504</v>
      </c>
      <c r="C267" s="40" t="s">
        <v>507</v>
      </c>
      <c r="G267" s="45">
        <v>3.5</v>
      </c>
    </row>
    <row r="268" spans="1:7">
      <c r="A268" s="1" t="s">
        <v>504</v>
      </c>
      <c r="C268" s="40" t="s">
        <v>508</v>
      </c>
      <c r="G268" s="45">
        <v>4.0999999999999996</v>
      </c>
    </row>
    <row r="269" spans="1:7">
      <c r="A269" s="1" t="s">
        <v>504</v>
      </c>
      <c r="C269" s="40" t="s">
        <v>509</v>
      </c>
      <c r="G269" s="45">
        <v>5</v>
      </c>
    </row>
    <row r="270" spans="1:7">
      <c r="A270" s="1" t="s">
        <v>504</v>
      </c>
      <c r="C270" s="40" t="s">
        <v>510</v>
      </c>
      <c r="G270" s="45">
        <v>6</v>
      </c>
    </row>
    <row r="271" spans="1:7">
      <c r="A271" s="1" t="s">
        <v>504</v>
      </c>
      <c r="C271" s="40" t="s">
        <v>511</v>
      </c>
      <c r="G271" s="45">
        <v>7.2</v>
      </c>
    </row>
    <row r="272" spans="1:7">
      <c r="A272" s="1" t="s">
        <v>504</v>
      </c>
      <c r="C272" s="40" t="s">
        <v>512</v>
      </c>
      <c r="G272" s="45">
        <v>8</v>
      </c>
    </row>
    <row r="273" spans="1:7">
      <c r="A273" s="1" t="s">
        <v>504</v>
      </c>
      <c r="C273" s="40" t="s">
        <v>513</v>
      </c>
      <c r="G273" s="45">
        <v>9</v>
      </c>
    </row>
    <row r="274" spans="1:7">
      <c r="A274" s="1" t="s">
        <v>504</v>
      </c>
      <c r="C274" s="40" t="s">
        <v>514</v>
      </c>
      <c r="G274" s="43">
        <v>2.2000000000000002</v>
      </c>
    </row>
    <row r="275" spans="1:7">
      <c r="A275" s="1" t="s">
        <v>504</v>
      </c>
      <c r="C275" s="40" t="s">
        <v>515</v>
      </c>
      <c r="G275" s="45">
        <v>2.8</v>
      </c>
    </row>
    <row r="276" spans="1:7">
      <c r="A276" s="1" t="s">
        <v>504</v>
      </c>
      <c r="C276" s="40" t="s">
        <v>516</v>
      </c>
      <c r="G276" s="45">
        <v>3.5</v>
      </c>
    </row>
    <row r="277" spans="1:7">
      <c r="A277" s="1" t="s">
        <v>504</v>
      </c>
      <c r="C277" s="40" t="s">
        <v>517</v>
      </c>
      <c r="G277" s="45">
        <v>4.0999999999999996</v>
      </c>
    </row>
    <row r="278" spans="1:7">
      <c r="A278" s="1" t="s">
        <v>504</v>
      </c>
      <c r="C278" s="40" t="s">
        <v>518</v>
      </c>
      <c r="G278" s="45">
        <v>5</v>
      </c>
    </row>
    <row r="279" spans="1:7">
      <c r="A279" s="1" t="s">
        <v>504</v>
      </c>
      <c r="C279" s="40" t="s">
        <v>519</v>
      </c>
      <c r="G279" s="45">
        <v>6</v>
      </c>
    </row>
    <row r="280" spans="1:7">
      <c r="A280" s="1" t="s">
        <v>504</v>
      </c>
      <c r="C280" s="40" t="s">
        <v>520</v>
      </c>
      <c r="G280" s="45">
        <v>7.2</v>
      </c>
    </row>
    <row r="281" spans="1:7">
      <c r="A281" s="1" t="s">
        <v>504</v>
      </c>
    </row>
    <row r="282" spans="1:7">
      <c r="A282" s="1" t="s">
        <v>504</v>
      </c>
    </row>
  </sheetData>
  <autoFilter ref="A1:L230" xr:uid="{00000000-0009-0000-0000-000000000000}"/>
  <phoneticPr fontId="8" type="noConversion"/>
  <pageMargins left="0.25" right="0.25" top="0.75" bottom="0.75" header="0.3" footer="0.3"/>
  <pageSetup paperSize="9" scale="81" fitToHeight="0" orientation="portrait" r:id="rId1"/>
  <rowBreaks count="3" manualBreakCount="3">
    <brk id="96" max="16383" man="1"/>
    <brk id="115" max="16383" man="1"/>
    <brk id="2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VRV設備價格表</vt:lpstr>
      <vt:lpstr>VRV設備價格表!Print_Area</vt:lpstr>
    </vt:vector>
  </TitlesOfParts>
  <Company>和泰興業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cben</dc:creator>
  <cp:lastModifiedBy>洪義翔</cp:lastModifiedBy>
  <cp:lastPrinted>2023-03-13T00:06:48Z</cp:lastPrinted>
  <dcterms:created xsi:type="dcterms:W3CDTF">2008-12-25T02:09:44Z</dcterms:created>
  <dcterms:modified xsi:type="dcterms:W3CDTF">2026-08-05T08:12:46Z</dcterms:modified>
</cp:coreProperties>
</file>